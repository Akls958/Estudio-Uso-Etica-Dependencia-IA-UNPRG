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7C0295B4-7283-400D-B12E-8A63E5255B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2" i="1" l="1"/>
  <c r="AN2" i="1"/>
  <c r="AN55" i="1" s="1"/>
  <c r="AH2" i="1"/>
  <c r="AS8" i="1"/>
  <c r="AS16" i="1"/>
  <c r="AS24" i="1"/>
  <c r="AS31" i="1"/>
  <c r="AS32" i="1"/>
  <c r="AS40" i="1"/>
  <c r="AS48" i="1"/>
  <c r="AM2" i="1"/>
  <c r="AS9" i="1" s="1"/>
  <c r="AR55" i="1"/>
  <c r="AQ55" i="1"/>
  <c r="AP55" i="1"/>
  <c r="AO55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P2" i="1"/>
  <c r="AO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L54" i="1"/>
  <c r="AK54" i="1"/>
  <c r="AJ54" i="1"/>
  <c r="AI54" i="1"/>
  <c r="AH54" i="1"/>
  <c r="AL53" i="1"/>
  <c r="AK53" i="1"/>
  <c r="AJ53" i="1"/>
  <c r="AI53" i="1"/>
  <c r="AH53" i="1"/>
  <c r="AL52" i="1"/>
  <c r="AK52" i="1"/>
  <c r="AJ52" i="1"/>
  <c r="AI52" i="1"/>
  <c r="AH52" i="1"/>
  <c r="AL51" i="1"/>
  <c r="AK51" i="1"/>
  <c r="AJ51" i="1"/>
  <c r="AI51" i="1"/>
  <c r="AH51" i="1"/>
  <c r="AL50" i="1"/>
  <c r="AK50" i="1"/>
  <c r="AJ50" i="1"/>
  <c r="AI50" i="1"/>
  <c r="AM50" i="1" s="1"/>
  <c r="AH50" i="1"/>
  <c r="AL49" i="1"/>
  <c r="AK49" i="1"/>
  <c r="AJ49" i="1"/>
  <c r="AI49" i="1"/>
  <c r="AH49" i="1"/>
  <c r="AL48" i="1"/>
  <c r="AK48" i="1"/>
  <c r="AJ48" i="1"/>
  <c r="AI48" i="1"/>
  <c r="AM48" i="1" s="1"/>
  <c r="AH48" i="1"/>
  <c r="AL47" i="1"/>
  <c r="AK47" i="1"/>
  <c r="AJ47" i="1"/>
  <c r="AI47" i="1"/>
  <c r="AH47" i="1"/>
  <c r="AL46" i="1"/>
  <c r="AK46" i="1"/>
  <c r="AJ46" i="1"/>
  <c r="AI46" i="1"/>
  <c r="AM46" i="1" s="1"/>
  <c r="AH46" i="1"/>
  <c r="AL45" i="1"/>
  <c r="AK45" i="1"/>
  <c r="AJ45" i="1"/>
  <c r="AI45" i="1"/>
  <c r="AH45" i="1"/>
  <c r="AL44" i="1"/>
  <c r="AK44" i="1"/>
  <c r="AJ44" i="1"/>
  <c r="AI44" i="1"/>
  <c r="AH44" i="1"/>
  <c r="AM44" i="1" s="1"/>
  <c r="AL43" i="1"/>
  <c r="AK43" i="1"/>
  <c r="AJ43" i="1"/>
  <c r="AI43" i="1"/>
  <c r="AH43" i="1"/>
  <c r="AL42" i="1"/>
  <c r="AK42" i="1"/>
  <c r="AJ42" i="1"/>
  <c r="AI42" i="1"/>
  <c r="AH42" i="1"/>
  <c r="AL41" i="1"/>
  <c r="AK41" i="1"/>
  <c r="AJ41" i="1"/>
  <c r="AI41" i="1"/>
  <c r="AH41" i="1"/>
  <c r="AM41" i="1" s="1"/>
  <c r="AM40" i="1"/>
  <c r="AL40" i="1"/>
  <c r="AK40" i="1"/>
  <c r="AJ40" i="1"/>
  <c r="AI40" i="1"/>
  <c r="AH40" i="1"/>
  <c r="AL39" i="1"/>
  <c r="AK39" i="1"/>
  <c r="AM39" i="1" s="1"/>
  <c r="AJ39" i="1"/>
  <c r="AI39" i="1"/>
  <c r="AH39" i="1"/>
  <c r="AL38" i="1"/>
  <c r="AK38" i="1"/>
  <c r="AJ38" i="1"/>
  <c r="AI38" i="1"/>
  <c r="AH38" i="1"/>
  <c r="AL37" i="1"/>
  <c r="AK37" i="1"/>
  <c r="AJ37" i="1"/>
  <c r="AI37" i="1"/>
  <c r="AH37" i="1"/>
  <c r="AL36" i="1"/>
  <c r="AK36" i="1"/>
  <c r="AJ36" i="1"/>
  <c r="AI36" i="1"/>
  <c r="AH36" i="1"/>
  <c r="AM36" i="1" s="1"/>
  <c r="AL35" i="1"/>
  <c r="AK35" i="1"/>
  <c r="AJ35" i="1"/>
  <c r="AI35" i="1"/>
  <c r="AH35" i="1"/>
  <c r="AL34" i="1"/>
  <c r="AK34" i="1"/>
  <c r="AJ34" i="1"/>
  <c r="AI34" i="1"/>
  <c r="AH34" i="1"/>
  <c r="AL33" i="1"/>
  <c r="AK33" i="1"/>
  <c r="AJ33" i="1"/>
  <c r="AI33" i="1"/>
  <c r="AH33" i="1"/>
  <c r="AL32" i="1"/>
  <c r="AK32" i="1"/>
  <c r="AJ32" i="1"/>
  <c r="AI32" i="1"/>
  <c r="AH32" i="1"/>
  <c r="AM32" i="1" s="1"/>
  <c r="AL31" i="1"/>
  <c r="AK31" i="1"/>
  <c r="AJ31" i="1"/>
  <c r="AI31" i="1"/>
  <c r="AH31" i="1"/>
  <c r="AL30" i="1"/>
  <c r="AK30" i="1"/>
  <c r="AJ30" i="1"/>
  <c r="AI30" i="1"/>
  <c r="AH30" i="1"/>
  <c r="AL29" i="1"/>
  <c r="AK29" i="1"/>
  <c r="AJ29" i="1"/>
  <c r="AI29" i="1"/>
  <c r="AH29" i="1"/>
  <c r="AM28" i="1"/>
  <c r="AL28" i="1"/>
  <c r="AK28" i="1"/>
  <c r="AJ28" i="1"/>
  <c r="AI28" i="1"/>
  <c r="AH28" i="1"/>
  <c r="AL27" i="1"/>
  <c r="AK27" i="1"/>
  <c r="AJ27" i="1"/>
  <c r="AI27" i="1"/>
  <c r="AH27" i="1"/>
  <c r="AL26" i="1"/>
  <c r="AK26" i="1"/>
  <c r="AJ26" i="1"/>
  <c r="AI26" i="1"/>
  <c r="AH26" i="1"/>
  <c r="AL25" i="1"/>
  <c r="AK25" i="1"/>
  <c r="AJ25" i="1"/>
  <c r="AI25" i="1"/>
  <c r="AH25" i="1"/>
  <c r="AL24" i="1"/>
  <c r="AK24" i="1"/>
  <c r="AJ24" i="1"/>
  <c r="AI24" i="1"/>
  <c r="AM24" i="1" s="1"/>
  <c r="AH24" i="1"/>
  <c r="AL23" i="1"/>
  <c r="AK23" i="1"/>
  <c r="AJ23" i="1"/>
  <c r="AI23" i="1"/>
  <c r="AH23" i="1"/>
  <c r="AL22" i="1"/>
  <c r="AK22" i="1"/>
  <c r="AJ22" i="1"/>
  <c r="AI22" i="1"/>
  <c r="AH22" i="1"/>
  <c r="AL21" i="1"/>
  <c r="AK21" i="1"/>
  <c r="AJ21" i="1"/>
  <c r="AI21" i="1"/>
  <c r="AH21" i="1"/>
  <c r="AL20" i="1"/>
  <c r="AK20" i="1"/>
  <c r="AJ20" i="1"/>
  <c r="AI20" i="1"/>
  <c r="AH20" i="1"/>
  <c r="AM20" i="1" s="1"/>
  <c r="AL19" i="1"/>
  <c r="AK19" i="1"/>
  <c r="AJ19" i="1"/>
  <c r="AI19" i="1"/>
  <c r="AH19" i="1"/>
  <c r="AL18" i="1"/>
  <c r="AK18" i="1"/>
  <c r="AJ18" i="1"/>
  <c r="AI18" i="1"/>
  <c r="AM18" i="1" s="1"/>
  <c r="AH18" i="1"/>
  <c r="AL17" i="1"/>
  <c r="AK17" i="1"/>
  <c r="AJ17" i="1"/>
  <c r="AI17" i="1"/>
  <c r="AH17" i="1"/>
  <c r="AL16" i="1"/>
  <c r="AK16" i="1"/>
  <c r="AJ16" i="1"/>
  <c r="AI16" i="1"/>
  <c r="AH16" i="1"/>
  <c r="AM16" i="1" s="1"/>
  <c r="AL15" i="1"/>
  <c r="AK15" i="1"/>
  <c r="AJ15" i="1"/>
  <c r="AI15" i="1"/>
  <c r="AH15" i="1"/>
  <c r="AL14" i="1"/>
  <c r="AK14" i="1"/>
  <c r="AJ14" i="1"/>
  <c r="AI14" i="1"/>
  <c r="AM14" i="1" s="1"/>
  <c r="AH14" i="1"/>
  <c r="AL13" i="1"/>
  <c r="AK13" i="1"/>
  <c r="AJ13" i="1"/>
  <c r="AI13" i="1"/>
  <c r="AH13" i="1"/>
  <c r="AL12" i="1"/>
  <c r="AK12" i="1"/>
  <c r="AJ12" i="1"/>
  <c r="AI12" i="1"/>
  <c r="AH12" i="1"/>
  <c r="AM12" i="1" s="1"/>
  <c r="AL11" i="1"/>
  <c r="AK11" i="1"/>
  <c r="AJ11" i="1"/>
  <c r="AI11" i="1"/>
  <c r="AH11" i="1"/>
  <c r="AL10" i="1"/>
  <c r="AK10" i="1"/>
  <c r="AJ10" i="1"/>
  <c r="AI10" i="1"/>
  <c r="AH10" i="1"/>
  <c r="AL9" i="1"/>
  <c r="AK9" i="1"/>
  <c r="AJ9" i="1"/>
  <c r="AI9" i="1"/>
  <c r="AH9" i="1"/>
  <c r="AM9" i="1" s="1"/>
  <c r="AM8" i="1"/>
  <c r="AL8" i="1"/>
  <c r="AK8" i="1"/>
  <c r="AJ8" i="1"/>
  <c r="AI8" i="1"/>
  <c r="AH8" i="1"/>
  <c r="AL7" i="1"/>
  <c r="AK7" i="1"/>
  <c r="AM7" i="1" s="1"/>
  <c r="AJ7" i="1"/>
  <c r="AI7" i="1"/>
  <c r="AH7" i="1"/>
  <c r="AL6" i="1"/>
  <c r="AK6" i="1"/>
  <c r="AJ6" i="1"/>
  <c r="AI6" i="1"/>
  <c r="AH6" i="1"/>
  <c r="AL5" i="1"/>
  <c r="AK5" i="1"/>
  <c r="AJ5" i="1"/>
  <c r="AI5" i="1"/>
  <c r="AH5" i="1"/>
  <c r="AL4" i="1"/>
  <c r="AK4" i="1"/>
  <c r="AJ4" i="1"/>
  <c r="AI4" i="1"/>
  <c r="AH4" i="1"/>
  <c r="AM4" i="1" s="1"/>
  <c r="AL3" i="1"/>
  <c r="AK3" i="1"/>
  <c r="AJ3" i="1"/>
  <c r="AI3" i="1"/>
  <c r="AH3" i="1"/>
  <c r="AL2" i="1"/>
  <c r="AK2" i="1"/>
  <c r="AJ2" i="1"/>
  <c r="AI2" i="1"/>
  <c r="AS23" i="1" l="1"/>
  <c r="AS54" i="1"/>
  <c r="AS46" i="1"/>
  <c r="AS38" i="1"/>
  <c r="AS30" i="1"/>
  <c r="AS22" i="1"/>
  <c r="AS14" i="1"/>
  <c r="AS6" i="1"/>
  <c r="AS39" i="1"/>
  <c r="AS7" i="1"/>
  <c r="AS53" i="1"/>
  <c r="AS45" i="1"/>
  <c r="AS37" i="1"/>
  <c r="AS29" i="1"/>
  <c r="AS21" i="1"/>
  <c r="AS13" i="1"/>
  <c r="AS5" i="1"/>
  <c r="AS52" i="1"/>
  <c r="AS44" i="1"/>
  <c r="AS36" i="1"/>
  <c r="AS28" i="1"/>
  <c r="AS20" i="1"/>
  <c r="AS12" i="1"/>
  <c r="AS4" i="1"/>
  <c r="AS51" i="1"/>
  <c r="AS43" i="1"/>
  <c r="AS35" i="1"/>
  <c r="AS27" i="1"/>
  <c r="AS19" i="1"/>
  <c r="AS11" i="1"/>
  <c r="AS3" i="1"/>
  <c r="AS50" i="1"/>
  <c r="AS42" i="1"/>
  <c r="AS34" i="1"/>
  <c r="AS26" i="1"/>
  <c r="AS18" i="1"/>
  <c r="AS10" i="1"/>
  <c r="AS47" i="1"/>
  <c r="AS15" i="1"/>
  <c r="AS49" i="1"/>
  <c r="AS41" i="1"/>
  <c r="AS33" i="1"/>
  <c r="AS25" i="1"/>
  <c r="AS17" i="1"/>
  <c r="AM6" i="1"/>
  <c r="AM27" i="1"/>
  <c r="AM29" i="1"/>
  <c r="AM38" i="1"/>
  <c r="AM52" i="1"/>
  <c r="AM15" i="1"/>
  <c r="AM17" i="1"/>
  <c r="AM26" i="1"/>
  <c r="AM47" i="1"/>
  <c r="AM49" i="1"/>
  <c r="AM3" i="1"/>
  <c r="AM35" i="1"/>
  <c r="AM37" i="1"/>
  <c r="AM23" i="1"/>
  <c r="AM25" i="1"/>
  <c r="AM34" i="1"/>
  <c r="AM11" i="1"/>
  <c r="AM13" i="1"/>
  <c r="AM22" i="1"/>
  <c r="AM43" i="1"/>
  <c r="AM45" i="1"/>
  <c r="AM54" i="1"/>
  <c r="AM5" i="1"/>
  <c r="AM10" i="1"/>
  <c r="AM31" i="1"/>
  <c r="AM33" i="1"/>
  <c r="AM42" i="1"/>
  <c r="AM53" i="1"/>
  <c r="AM19" i="1"/>
  <c r="AM21" i="1"/>
  <c r="AM30" i="1"/>
  <c r="AM51" i="1"/>
</calcChain>
</file>

<file path=xl/sharedStrings.xml><?xml version="1.0" encoding="utf-8"?>
<sst xmlns="http://schemas.openxmlformats.org/spreadsheetml/2006/main" count="45" uniqueCount="45">
  <si>
    <t>Marca temporal</t>
  </si>
  <si>
    <t>Puntuación</t>
  </si>
  <si>
    <t>1. Utilizo herramientas de IAGen para buscar información académica</t>
  </si>
  <si>
    <t xml:space="preserve">2. Utilizo herramientas de IAGen para analizar información de trabajos académicos, como informes de PDF, videos, datos estadísticos, entre otros. </t>
  </si>
  <si>
    <t xml:space="preserve">3. Utilizo herramientas de IAGen para citar y/o elaborar referencias bibliográficas en los formatos: APA, MLA, CHICAGO, IEEE o VANCOUVER. </t>
  </si>
  <si>
    <t xml:space="preserve">4. Utilizo herramientas de IAGen para traducir y comprender textos académicos de otros idiomas. </t>
  </si>
  <si>
    <t xml:space="preserve">5. Utilizo herramientas de IAGen para generar o estructurar ideas, esquemas o argumentos para trabajos académicos. </t>
  </si>
  <si>
    <t xml:space="preserve">6. Utilizo herramientas de IAGen en el día a día para resolver dudas académicas. </t>
  </si>
  <si>
    <t xml:space="preserve">7. Utilizo herramientas de IAGen para revisar gramática, ortografía y estilo en mis trabajos académicos. </t>
  </si>
  <si>
    <t xml:space="preserve">8. Utilizo herramientas de IAGen para resolver o solicitar ayuda en temas complejos al estudiar por mi cuenta. </t>
  </si>
  <si>
    <t xml:space="preserve">9. Utilizo herramientas de IAGen como apoyo para prepararme para exámenes. </t>
  </si>
  <si>
    <t xml:space="preserve">10. Utilizo herramientas de IAGen para crear resúmenes de textos académicos. </t>
  </si>
  <si>
    <t xml:space="preserve">11. Utilizo herramientas de IAGen para generar ideas, textos o diapositivas para presentaciones académicas. </t>
  </si>
  <si>
    <t xml:space="preserve">12. Utilizo herramientas de IAGen para redactar y/o editar trabajos académicos. </t>
  </si>
  <si>
    <t xml:space="preserve">13. Utilizo herramientas de IAGen para generar contenido multimedia (videos, imágenes, audio) para su utilización en diferentes actividades académicas. </t>
  </si>
  <si>
    <t xml:space="preserve">14. Adapto y combino las respuestas de las herramientas de IAGen con mis propias ideas al realizar trabajos académicos. </t>
  </si>
  <si>
    <t xml:space="preserve">15. Me siento seguro(a) utilizando herramientas de IAGen para la búsqueda de información, redacción de textos o para solución de dudas. </t>
  </si>
  <si>
    <t xml:space="preserve">16. Puedo aprender a usar nuevas herramientas de IAGen rápidamente si es necesario. </t>
  </si>
  <si>
    <t xml:space="preserve">17. Confío en mi capacidad para resolver problemas académicos utilizando herramientas de IAGen. </t>
  </si>
  <si>
    <t xml:space="preserve">18. Me siento competente al utilizar herramientas de IAGen para mejorar mi aprendizaje. </t>
  </si>
  <si>
    <t xml:space="preserve">19. Puedo utilizar herramientas de IAGen para mejorar la calidad de mis trabajos académicos. </t>
  </si>
  <si>
    <t xml:space="preserve">20. Me siento capaz de evaluar la calidad de la información generada por herramientas de IAGen. </t>
  </si>
  <si>
    <t xml:space="preserve">21. Confío en mi capacidad para integrar herramientas de IAGen en mi rutina de estudio de manera efectiva. </t>
  </si>
  <si>
    <t xml:space="preserve">22. Comprendo cómo utilizar de manera adecuada y ética las herramientas de IAGen en mis estudios. </t>
  </si>
  <si>
    <t xml:space="preserve">23. Verifico la confiabilidad de la información y fuentes generadas por las herramientas de IAGen. </t>
  </si>
  <si>
    <t xml:space="preserve">24. Evalúo si el uso de las herramientas de IAGen mejora mi aprendizaje. </t>
  </si>
  <si>
    <t xml:space="preserve">25. Considero a la IAGen como una herramienta complementaria y no como un sustituto. </t>
  </si>
  <si>
    <t xml:space="preserve">26. Reconozco que las herramientas de IAGen pueden producir resultados o interpretaciones erróneas. </t>
  </si>
  <si>
    <t xml:space="preserve">27. Sé cuáles son los riesgos que puede traer el uso de herramientas de IAGen en lo académico. </t>
  </si>
  <si>
    <t xml:space="preserve">28. Sé cuáles son los riesgos que puede traer el uso de herramientas de IAGen en el ámbito personal. </t>
  </si>
  <si>
    <t xml:space="preserve">29. Siento que recurro con frecuencia a las herramientas de IAGen para completar mis tareas académicas. </t>
  </si>
  <si>
    <t xml:space="preserve">30. Utilizo herramientas de IAGen incluso cuando no son necesarias para mis actividades académicas. </t>
  </si>
  <si>
    <t xml:space="preserve">31. He notado que paso más tiempo del necesario utilizando herramientas de IAGen para mis estudios. </t>
  </si>
  <si>
    <t>D1</t>
  </si>
  <si>
    <t>d2</t>
  </si>
  <si>
    <t>d3</t>
  </si>
  <si>
    <t>D4</t>
  </si>
  <si>
    <t>D5</t>
  </si>
  <si>
    <t>total</t>
  </si>
  <si>
    <t>ND1</t>
  </si>
  <si>
    <t>ND2</t>
  </si>
  <si>
    <t>ND3</t>
  </si>
  <si>
    <t>ND4</t>
  </si>
  <si>
    <t>ND5</t>
  </si>
  <si>
    <t>Total2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</si>
</sst>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u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NumberFormat="1" applyFont="1" applyAlignment="1">
      <alignment vertical="center"/>
    </xf>
    <xf numFmtId="0" fontId="0" fillId="0" borderId="0" xfId="0" applyNumberFormat="1" applyFont="1" applyAlignment="1"/>
    <xf numFmtId="0" fontId="4" fillId="0" borderId="0" xfId="0" applyFont="1" applyAlignment="1">
      <alignment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S55" totalsRowCount="1">
  <tableColumns count="45">
    <tableColumn id="1" xr3:uid="{00000000-0010-0000-0000-000001000000}" name="Marca temporal"/>
    <tableColumn id="2" xr3:uid="{00000000-0010-0000-0000-000002000000}" name="Puntuación"/>
    <tableColumn id="3" xr3:uid="{00000000-0010-0000-0000-000003000000}" name="1. Utilizo herramientas de IAGen para buscar información académica"/>
    <tableColumn id="4" xr3:uid="{00000000-0010-0000-0000-000004000000}" name="2. Utilizo herramientas de IAGen para analizar información de trabajos académicos, como informes de PDF, videos, datos estadísticos, entre otros. "/>
    <tableColumn id="5" xr3:uid="{00000000-0010-0000-0000-000005000000}" name="3. Utilizo herramientas de IAGen para citar y/o elaborar referencias bibliográficas en los formatos: APA, MLA, CHICAGO, IEEE o VANCOUVER. "/>
    <tableColumn id="6" xr3:uid="{00000000-0010-0000-0000-000006000000}" name="4. Utilizo herramientas de IAGen para traducir y comprender textos académicos de otros idiomas. "/>
    <tableColumn id="7" xr3:uid="{00000000-0010-0000-0000-000007000000}" name="5. Utilizo herramientas de IAGen para generar o estructurar ideas, esquemas o argumentos para trabajos académicos. "/>
    <tableColumn id="8" xr3:uid="{00000000-0010-0000-0000-000008000000}" name="6. Utilizo herramientas de IAGen en el día a día para resolver dudas académicas. "/>
    <tableColumn id="9" xr3:uid="{00000000-0010-0000-0000-000009000000}" name="7. Utilizo herramientas de IAGen para revisar gramática, ortografía y estilo en mis trabajos académicos. "/>
    <tableColumn id="10" xr3:uid="{00000000-0010-0000-0000-00000A000000}" name="8. Utilizo herramientas de IAGen para resolver o solicitar ayuda en temas complejos al estudiar por mi cuenta. "/>
    <tableColumn id="11" xr3:uid="{00000000-0010-0000-0000-00000B000000}" name="9. Utilizo herramientas de IAGen como apoyo para prepararme para exámenes. "/>
    <tableColumn id="12" xr3:uid="{00000000-0010-0000-0000-00000C000000}" name="10. Utilizo herramientas de IAGen para crear resúmenes de textos académicos. "/>
    <tableColumn id="13" xr3:uid="{00000000-0010-0000-0000-00000D000000}" name="11. Utilizo herramientas de IAGen para generar ideas, textos o diapositivas para presentaciones académicas. "/>
    <tableColumn id="14" xr3:uid="{00000000-0010-0000-0000-00000E000000}" name="12. Utilizo herramientas de IAGen para redactar y/o editar trabajos académicos. "/>
    <tableColumn id="15" xr3:uid="{00000000-0010-0000-0000-00000F000000}" name="13. Utilizo herramientas de IAGen para generar contenido multimedia (videos, imágenes, audio) para su utilización en diferentes actividades académicas. "/>
    <tableColumn id="16" xr3:uid="{00000000-0010-0000-0000-000010000000}" name="14. Adapto y combino las respuestas de las herramientas de IAGen con mis propias ideas al realizar trabajos académicos. "/>
    <tableColumn id="17" xr3:uid="{00000000-0010-0000-0000-000011000000}" name="15. Me siento seguro(a) utilizando herramientas de IAGen para la búsqueda de información, redacción de textos o para solución de dudas. "/>
    <tableColumn id="18" xr3:uid="{00000000-0010-0000-0000-000012000000}" name="16. Puedo aprender a usar nuevas herramientas de IAGen rápidamente si es necesario. "/>
    <tableColumn id="19" xr3:uid="{00000000-0010-0000-0000-000013000000}" name="17. Confío en mi capacidad para resolver problemas académicos utilizando herramientas de IAGen. "/>
    <tableColumn id="20" xr3:uid="{00000000-0010-0000-0000-000014000000}" name="18. Me siento competente al utilizar herramientas de IAGen para mejorar mi aprendizaje. "/>
    <tableColumn id="21" xr3:uid="{00000000-0010-0000-0000-000015000000}" name="19. Puedo utilizar herramientas de IAGen para mejorar la calidad de mis trabajos académicos. "/>
    <tableColumn id="22" xr3:uid="{00000000-0010-0000-0000-000016000000}" name="20. Me siento capaz de evaluar la calidad de la información generada por herramientas de IAGen. "/>
    <tableColumn id="23" xr3:uid="{00000000-0010-0000-0000-000017000000}" name="21. Confío en mi capacidad para integrar herramientas de IAGen en mi rutina de estudio de manera efectiva. "/>
    <tableColumn id="24" xr3:uid="{00000000-0010-0000-0000-000018000000}" name="22. Comprendo cómo utilizar de manera adecuada y ética las herramientas de IAGen en mis estudios. "/>
    <tableColumn id="25" xr3:uid="{00000000-0010-0000-0000-000019000000}" name="23. Verifico la confiabilidad de la información y fuentes generadas por las herramientas de IAGen. "/>
    <tableColumn id="26" xr3:uid="{00000000-0010-0000-0000-00001A000000}" name="24. Evalúo si el uso de las herramientas de IAGen mejora mi aprendizaje. "/>
    <tableColumn id="27" xr3:uid="{00000000-0010-0000-0000-00001B000000}" name="25. Considero a la IAGen como una herramienta complementaria y no como un sustituto. "/>
    <tableColumn id="28" xr3:uid="{00000000-0010-0000-0000-00001C000000}" name="26. Reconozco que las herramientas de IAGen pueden producir resultados o interpretaciones erróneas. "/>
    <tableColumn id="29" xr3:uid="{00000000-0010-0000-0000-00001D000000}" name="27. Sé cuáles son los riesgos que puede traer el uso de herramientas de IAGen en lo académico. "/>
    <tableColumn id="30" xr3:uid="{00000000-0010-0000-0000-00001E000000}" name="28. Sé cuáles son los riesgos que puede traer el uso de herramientas de IAGen en el ámbito personal. "/>
    <tableColumn id="31" xr3:uid="{00000000-0010-0000-0000-00001F000000}" name="29. Siento que recurro con frecuencia a las herramientas de IAGen para completar mis tareas académicas. "/>
    <tableColumn id="32" xr3:uid="{00000000-0010-0000-0000-000020000000}" name="30. Utilizo herramientas de IAGen incluso cuando no son necesarias para mis actividades académicas. "/>
    <tableColumn id="33" xr3:uid="{00000000-0010-0000-0000-000021000000}" name="31. He notado que paso más tiempo del necesario utilizando herramientas de IAGen para mis estudios. "/>
    <tableColumn id="34" xr3:uid="{00000000-0010-0000-0000-000022000000}" name="D1"/>
    <tableColumn id="35" xr3:uid="{00000000-0010-0000-0000-000023000000}" name="d2"/>
    <tableColumn id="36" xr3:uid="{00000000-0010-0000-0000-000024000000}" name="d3"/>
    <tableColumn id="37" xr3:uid="{00000000-0010-0000-0000-000025000000}" name="D4"/>
    <tableColumn id="38" xr3:uid="{00000000-0010-0000-0000-000026000000}" name="D5"/>
    <tableColumn id="39" xr3:uid="{00000000-0010-0000-0000-000027000000}" name="total"/>
    <tableColumn id="40" xr3:uid="{F5037B36-517F-4ACC-911E-F8A89E30BC2E}" name="ND1" totalsRowFunction="custom" dataDxfId="11" totalsRowDxfId="5">
      <calculatedColumnFormula>IF(AH2&lt;=PERCENTILE($AH$2:$AH$54,0.25),1,IF(AH2&lt;=PERCENTILE($AH$2:$AH$54,0.75),2,3))</calculatedColumnFormula>
      <totalsRowFormula>AVERAGE(Form_Responses[ND1])</totalsRowFormula>
    </tableColumn>
    <tableColumn id="41" xr3:uid="{E8BD71F5-DDBB-4FA4-9880-3E280138EF28}" name="ND2" totalsRowFunction="custom" dataDxfId="10" totalsRowDxfId="4">
      <calculatedColumnFormula>IF(AI2&lt;=PERCENTILE($AI$2:$AI$54,0.25),1,IF(AI2&lt;=PERCENTILE($AI$2:$AI$54,0.75),2,3))</calculatedColumnFormula>
      <totalsRowFormula>AVERAGE(Form_Responses[ND2])</totalsRowFormula>
    </tableColumn>
    <tableColumn id="42" xr3:uid="{20B74196-5F00-434D-8DF7-7D7813F15F01}" name="ND3" totalsRowFunction="custom" dataDxfId="9" totalsRowDxfId="3">
      <calculatedColumnFormula>IF(AJ2&lt;=PERCENTILE($AJ$2:$AJ$54,0.25),1,IF(AJ2&lt;=PERCENTILE($AJ$2:$AJ$54,0.75),2,3))</calculatedColumnFormula>
      <totalsRowFormula>AVERAGE(Form_Responses[ND3])</totalsRowFormula>
    </tableColumn>
    <tableColumn id="43" xr3:uid="{D768C09B-DE9E-42FB-A6C0-DB638E2336FC}" name="ND4" totalsRowFunction="custom" dataDxfId="8" totalsRowDxfId="2">
      <calculatedColumnFormula>IF(AK2&lt;=PERCENTILE($AK$2:$AK$54,0.25),1,IF(AK2&lt;=PERCENTILE($AK$2:$AK$54,0.75),2,3))</calculatedColumnFormula>
      <totalsRowFormula>AVERAGE(Form_Responses[ND4])</totalsRowFormula>
    </tableColumn>
    <tableColumn id="44" xr3:uid="{E66ADB27-6451-4594-9BED-F82867938B53}" name="ND5" totalsRowFunction="custom" dataDxfId="7" totalsRowDxfId="1">
      <calculatedColumnFormula>IF(AL2&lt;=PERCENTILE($AL$2:$AL$54,0.25),1,IF(AL2&lt;=PERCENTILE($AL$2:$AL$54,0.75),2,3))</calculatedColumnFormula>
      <totalsRowFormula>AVERAGE(Form_Responses[ND5])</totalsRowFormula>
    </tableColumn>
    <tableColumn id="45" xr3:uid="{53CFC7A0-CEC5-4AC2-85C1-AA1A6C09D5A9}" name="Total2" dataDxfId="6" totalsRowDxfId="0">
      <calculatedColumnFormula>IF(AM2&lt;=PERCENTILE($AM$2:$AM$54,0.25),1,IF(AM2&lt;=PERCENTILE($AM$2:$AM$54,0.75),2,3))</calculatedColumnFormula>
    </tableColumn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55"/>
  <sheetViews>
    <sheetView tabSelected="1" topLeftCell="AG1" workbookViewId="0">
      <pane ySplit="1" topLeftCell="A2" activePane="bottomLeft" state="frozen"/>
      <selection pane="bottomLeft" activeCell="AM16" sqref="AM16"/>
    </sheetView>
  </sheetViews>
  <sheetFormatPr baseColWidth="10" defaultColWidth="12.5703125" defaultRowHeight="15.75" customHeight="1" x14ac:dyDescent="0.2"/>
  <cols>
    <col min="1" max="2" width="18.85546875" customWidth="1"/>
    <col min="3" max="33" width="37.5703125" customWidth="1"/>
    <col min="34" max="39" width="18.85546875" customWidth="1"/>
    <col min="40" max="40" width="20.42578125" bestFit="1" customWidth="1"/>
  </cols>
  <sheetData>
    <row r="1" spans="1:4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22.5" customHeight="1" x14ac:dyDescent="0.2">
      <c r="A2" s="3">
        <v>46061.796312407409</v>
      </c>
      <c r="B2" s="4">
        <v>0</v>
      </c>
      <c r="C2" s="5">
        <v>3</v>
      </c>
      <c r="D2" s="5">
        <v>4</v>
      </c>
      <c r="E2" s="5">
        <v>1</v>
      </c>
      <c r="F2" s="5">
        <v>1</v>
      </c>
      <c r="G2" s="5">
        <v>2</v>
      </c>
      <c r="H2" s="5">
        <v>2</v>
      </c>
      <c r="I2" s="5">
        <v>1</v>
      </c>
      <c r="J2" s="5">
        <v>2</v>
      </c>
      <c r="K2" s="5">
        <v>1</v>
      </c>
      <c r="L2" s="5">
        <v>4</v>
      </c>
      <c r="M2" s="5">
        <v>1</v>
      </c>
      <c r="N2" s="5">
        <v>1</v>
      </c>
      <c r="O2" s="5">
        <v>3</v>
      </c>
      <c r="P2" s="5">
        <v>2</v>
      </c>
      <c r="Q2" s="5">
        <v>3</v>
      </c>
      <c r="R2" s="5">
        <v>3</v>
      </c>
      <c r="S2" s="5">
        <v>4</v>
      </c>
      <c r="T2" s="5">
        <v>4</v>
      </c>
      <c r="U2" s="5">
        <v>4</v>
      </c>
      <c r="V2" s="5">
        <v>5</v>
      </c>
      <c r="W2" s="5">
        <v>5</v>
      </c>
      <c r="X2" s="5">
        <v>5</v>
      </c>
      <c r="Y2" s="5">
        <v>5</v>
      </c>
      <c r="Z2" s="5">
        <v>5</v>
      </c>
      <c r="AA2" s="5">
        <v>5</v>
      </c>
      <c r="AB2" s="5">
        <v>5</v>
      </c>
      <c r="AC2" s="5">
        <v>5</v>
      </c>
      <c r="AD2" s="5">
        <v>5</v>
      </c>
      <c r="AE2" s="5">
        <v>2</v>
      </c>
      <c r="AF2" s="5">
        <v>1</v>
      </c>
      <c r="AG2" s="5">
        <v>2</v>
      </c>
      <c r="AH2" s="6">
        <f>SUM(C2:K2)</f>
        <v>17</v>
      </c>
      <c r="AI2" s="6">
        <f t="shared" ref="AI2:AI54" si="0">SUM(L2:O2)</f>
        <v>9</v>
      </c>
      <c r="AJ2" s="6">
        <f t="shared" ref="AJ2:AJ54" si="1">SUM(P2:W2)</f>
        <v>30</v>
      </c>
      <c r="AK2" s="6">
        <f t="shared" ref="AK2:AK54" si="2">SUM(X2:AD2)</f>
        <v>35</v>
      </c>
      <c r="AL2" s="6">
        <f t="shared" ref="AL2:AL54" si="3">SUM(AE2:AG2)</f>
        <v>5</v>
      </c>
      <c r="AM2" s="6">
        <f>SUM(AH2:AL2)</f>
        <v>96</v>
      </c>
      <c r="AN2" s="9">
        <f>IF(AH2&lt;=PERCENTILE($AH$2:$AH$54,0.25),1,IF(AH2&lt;=PERCENTILE($AH$2:$AH$54,0.75),2,3))</f>
        <v>1</v>
      </c>
      <c r="AO2" s="9">
        <f>IF(AI2&lt;=PERCENTILE($AI$2:$AI$54,0.25),1,IF(AI2&lt;=PERCENTILE($AI$2:$AI$54,0.75),2,3))</f>
        <v>2</v>
      </c>
      <c r="AP2" s="9">
        <f>IF(AJ2&lt;=PERCENTILE($AJ$2:$AJ$54,0.25),1,IF(AJ2&lt;=PERCENTILE($AJ$2:$AJ$54,0.75),2,3))</f>
        <v>2</v>
      </c>
      <c r="AQ2" s="9">
        <f t="shared" ref="AQ2:AQ33" si="4">IF(AK2&lt;=PERCENTILE($AK$2:$AK$54,0.25),1,IF(AK2&lt;=PERCENTILE($AK$2:$AK$54,0.75),2,3))</f>
        <v>3</v>
      </c>
      <c r="AR2" s="9">
        <f>IF(AL2&lt;=PERCENTILE($AL$2:$AL$54,0.25),1,IF(AL2&lt;=PERCENTILE($AL$2:$AL$54,0.75),2,3))</f>
        <v>1</v>
      </c>
      <c r="AS2" s="12">
        <f>IF(AM2&lt;=PERCENTILE($AM$2:$AM$54,0.25),1,IF(AM2&lt;=PERCENTILE($AM$2:$AM$54,0.75),2,3))</f>
        <v>2</v>
      </c>
    </row>
    <row r="3" spans="1:45" ht="22.5" customHeight="1" x14ac:dyDescent="0.2">
      <c r="A3" s="7">
        <v>46061.798549872685</v>
      </c>
      <c r="B3" s="8">
        <v>0</v>
      </c>
      <c r="C3" s="9">
        <v>3</v>
      </c>
      <c r="D3" s="9">
        <v>2</v>
      </c>
      <c r="E3" s="9">
        <v>2</v>
      </c>
      <c r="F3" s="9">
        <v>4</v>
      </c>
      <c r="G3" s="9">
        <v>2</v>
      </c>
      <c r="H3" s="9">
        <v>5</v>
      </c>
      <c r="I3" s="9">
        <v>2</v>
      </c>
      <c r="J3" s="9">
        <v>1</v>
      </c>
      <c r="K3" s="9">
        <v>3</v>
      </c>
      <c r="L3" s="9">
        <v>2</v>
      </c>
      <c r="M3" s="9">
        <v>3</v>
      </c>
      <c r="N3" s="9">
        <v>2</v>
      </c>
      <c r="O3" s="9">
        <v>4</v>
      </c>
      <c r="P3" s="9">
        <v>4</v>
      </c>
      <c r="Q3" s="9">
        <v>2</v>
      </c>
      <c r="R3" s="9">
        <v>3</v>
      </c>
      <c r="S3" s="9">
        <v>4</v>
      </c>
      <c r="T3" s="9">
        <v>2</v>
      </c>
      <c r="U3" s="9">
        <v>2</v>
      </c>
      <c r="V3" s="9">
        <v>2</v>
      </c>
      <c r="W3" s="9">
        <v>3</v>
      </c>
      <c r="X3" s="9">
        <v>1</v>
      </c>
      <c r="Y3" s="9">
        <v>3</v>
      </c>
      <c r="Z3" s="9">
        <v>3</v>
      </c>
      <c r="AA3" s="9">
        <v>2</v>
      </c>
      <c r="AB3" s="9">
        <v>3</v>
      </c>
      <c r="AC3" s="9">
        <v>2</v>
      </c>
      <c r="AD3" s="9">
        <v>2</v>
      </c>
      <c r="AE3" s="9">
        <v>3</v>
      </c>
      <c r="AF3" s="9">
        <v>2</v>
      </c>
      <c r="AG3" s="9">
        <v>2</v>
      </c>
      <c r="AH3" s="6">
        <f t="shared" ref="AH2:AH54" si="5">SUM(C3:K3)</f>
        <v>24</v>
      </c>
      <c r="AI3" s="6">
        <f t="shared" si="0"/>
        <v>11</v>
      </c>
      <c r="AJ3" s="6">
        <f t="shared" si="1"/>
        <v>22</v>
      </c>
      <c r="AK3" s="6">
        <f t="shared" si="2"/>
        <v>16</v>
      </c>
      <c r="AL3" s="6">
        <f t="shared" si="3"/>
        <v>7</v>
      </c>
      <c r="AM3" s="6">
        <f t="shared" ref="AM2:AM54" si="6">SUM(AH3:AL3)</f>
        <v>80</v>
      </c>
      <c r="AN3" s="9">
        <f t="shared" ref="AN2:AO33" si="7">IF(AH3&lt;=PERCENTILE($AH$2:$AH$54,0.25),1,IF(AH3&lt;=PERCENTILE($AH$2:$AH$54,0.75),2,3))</f>
        <v>1</v>
      </c>
      <c r="AO3">
        <f t="shared" ref="AO2:AO33" si="8">IF(AI3&lt;=PERCENTILE($AI$2:$AI$54,0.25),1,IF(AI3&lt;=PERCENTILE($AI$2:$AI$54,0.75),2,3))</f>
        <v>2</v>
      </c>
      <c r="AP3">
        <f t="shared" ref="AP2:AP33" si="9">IF(AJ3&lt;=PERCENTILE($AJ$2:$AJ$54,0.25),1,IF(AJ3&lt;=PERCENTILE($AJ$2:$AJ$54,0.75),2,3))</f>
        <v>1</v>
      </c>
      <c r="AQ3">
        <f t="shared" si="4"/>
        <v>1</v>
      </c>
      <c r="AR3">
        <f t="shared" ref="AR2:AR33" si="10">IF(AL3&lt;=PERCENTILE($AL$2:$AL$54,0.25),1,IF(AL3&lt;=PERCENTILE($AL$2:$AL$54,0.75),2,3))</f>
        <v>1</v>
      </c>
      <c r="AS3" s="12">
        <f t="shared" ref="AS2:AS33" si="11">IF(AM3&lt;=PERCENTILE($AM$2:$AM$54,0.25),1,IF(AM3&lt;=PERCENTILE($AM$2:$AM$54,0.75),2,3))</f>
        <v>1</v>
      </c>
    </row>
    <row r="4" spans="1:45" ht="22.5" customHeight="1" x14ac:dyDescent="0.2">
      <c r="A4" s="7">
        <v>46061.800073993058</v>
      </c>
      <c r="B4" s="8">
        <v>0</v>
      </c>
      <c r="C4" s="9">
        <v>1</v>
      </c>
      <c r="D4" s="9">
        <v>2</v>
      </c>
      <c r="E4" s="9">
        <v>3</v>
      </c>
      <c r="F4" s="9">
        <v>4</v>
      </c>
      <c r="G4" s="9">
        <v>5</v>
      </c>
      <c r="H4" s="9">
        <v>1</v>
      </c>
      <c r="I4" s="9">
        <v>2</v>
      </c>
      <c r="J4" s="9">
        <v>3</v>
      </c>
      <c r="K4" s="9">
        <v>4</v>
      </c>
      <c r="L4" s="9">
        <v>5</v>
      </c>
      <c r="M4" s="9">
        <v>1</v>
      </c>
      <c r="N4" s="9">
        <v>2</v>
      </c>
      <c r="O4" s="9">
        <v>3</v>
      </c>
      <c r="P4" s="9">
        <v>4</v>
      </c>
      <c r="Q4" s="9">
        <v>5</v>
      </c>
      <c r="R4" s="9">
        <v>1</v>
      </c>
      <c r="S4" s="9">
        <v>2</v>
      </c>
      <c r="T4" s="9">
        <v>3</v>
      </c>
      <c r="U4" s="9">
        <v>4</v>
      </c>
      <c r="V4" s="9">
        <v>5</v>
      </c>
      <c r="W4" s="9">
        <v>1</v>
      </c>
      <c r="X4" s="9">
        <v>1</v>
      </c>
      <c r="Y4" s="9">
        <v>2</v>
      </c>
      <c r="Z4" s="9">
        <v>3</v>
      </c>
      <c r="AA4" s="9">
        <v>4</v>
      </c>
      <c r="AB4" s="9">
        <v>5</v>
      </c>
      <c r="AC4" s="9">
        <v>1</v>
      </c>
      <c r="AD4" s="9">
        <v>2</v>
      </c>
      <c r="AE4" s="9">
        <v>2</v>
      </c>
      <c r="AF4" s="9">
        <v>3</v>
      </c>
      <c r="AG4" s="9">
        <v>4</v>
      </c>
      <c r="AH4" s="6">
        <f t="shared" si="5"/>
        <v>25</v>
      </c>
      <c r="AI4" s="6">
        <f t="shared" si="0"/>
        <v>11</v>
      </c>
      <c r="AJ4" s="6">
        <f t="shared" si="1"/>
        <v>25</v>
      </c>
      <c r="AK4" s="6">
        <f t="shared" si="2"/>
        <v>18</v>
      </c>
      <c r="AL4" s="6">
        <f t="shared" si="3"/>
        <v>9</v>
      </c>
      <c r="AM4" s="6">
        <f t="shared" si="6"/>
        <v>88</v>
      </c>
      <c r="AN4" s="9">
        <f t="shared" si="7"/>
        <v>2</v>
      </c>
      <c r="AO4">
        <f t="shared" si="8"/>
        <v>2</v>
      </c>
      <c r="AP4">
        <f t="shared" si="9"/>
        <v>2</v>
      </c>
      <c r="AQ4">
        <f t="shared" si="4"/>
        <v>1</v>
      </c>
      <c r="AR4">
        <f t="shared" si="10"/>
        <v>2</v>
      </c>
      <c r="AS4" s="12">
        <f t="shared" si="11"/>
        <v>1</v>
      </c>
    </row>
    <row r="5" spans="1:45" ht="22.5" customHeight="1" x14ac:dyDescent="0.2">
      <c r="A5" s="7">
        <v>46061.805056851852</v>
      </c>
      <c r="B5" s="8">
        <v>0</v>
      </c>
      <c r="C5" s="9">
        <v>3</v>
      </c>
      <c r="D5" s="9">
        <v>2</v>
      </c>
      <c r="E5" s="9">
        <v>3</v>
      </c>
      <c r="F5" s="9">
        <v>2</v>
      </c>
      <c r="G5" s="9">
        <v>3</v>
      </c>
      <c r="H5" s="9">
        <v>3</v>
      </c>
      <c r="I5" s="9">
        <v>3</v>
      </c>
      <c r="J5" s="9">
        <v>3</v>
      </c>
      <c r="K5" s="9">
        <v>4</v>
      </c>
      <c r="L5" s="9">
        <v>2</v>
      </c>
      <c r="M5" s="9">
        <v>2</v>
      </c>
      <c r="N5" s="9">
        <v>3</v>
      </c>
      <c r="O5" s="9">
        <v>3</v>
      </c>
      <c r="P5" s="9">
        <v>3</v>
      </c>
      <c r="Q5" s="9">
        <v>3</v>
      </c>
      <c r="R5" s="9">
        <v>3</v>
      </c>
      <c r="S5" s="9">
        <v>3</v>
      </c>
      <c r="T5" s="9">
        <v>3</v>
      </c>
      <c r="U5" s="9">
        <v>3</v>
      </c>
      <c r="V5" s="9">
        <v>3</v>
      </c>
      <c r="W5" s="9">
        <v>3</v>
      </c>
      <c r="X5" s="9">
        <v>3</v>
      </c>
      <c r="Y5" s="9">
        <v>3</v>
      </c>
      <c r="Z5" s="9">
        <v>3</v>
      </c>
      <c r="AA5" s="9">
        <v>3</v>
      </c>
      <c r="AB5" s="9">
        <v>3</v>
      </c>
      <c r="AC5" s="9">
        <v>3</v>
      </c>
      <c r="AD5" s="9">
        <v>3</v>
      </c>
      <c r="AE5" s="9">
        <v>3</v>
      </c>
      <c r="AF5" s="9">
        <v>3</v>
      </c>
      <c r="AG5" s="9">
        <v>3</v>
      </c>
      <c r="AH5" s="6">
        <f t="shared" si="5"/>
        <v>26</v>
      </c>
      <c r="AI5" s="6">
        <f t="shared" si="0"/>
        <v>10</v>
      </c>
      <c r="AJ5" s="6">
        <f t="shared" si="1"/>
        <v>24</v>
      </c>
      <c r="AK5" s="6">
        <f t="shared" si="2"/>
        <v>21</v>
      </c>
      <c r="AL5" s="6">
        <f t="shared" si="3"/>
        <v>9</v>
      </c>
      <c r="AM5" s="6">
        <f t="shared" si="6"/>
        <v>90</v>
      </c>
      <c r="AN5" s="9">
        <f t="shared" si="7"/>
        <v>2</v>
      </c>
      <c r="AO5">
        <f t="shared" si="8"/>
        <v>2</v>
      </c>
      <c r="AP5">
        <f t="shared" si="9"/>
        <v>1</v>
      </c>
      <c r="AQ5">
        <f t="shared" si="4"/>
        <v>1</v>
      </c>
      <c r="AR5">
        <f t="shared" si="10"/>
        <v>2</v>
      </c>
      <c r="AS5" s="12">
        <f t="shared" si="11"/>
        <v>2</v>
      </c>
    </row>
    <row r="6" spans="1:45" ht="22.5" customHeight="1" x14ac:dyDescent="0.2">
      <c r="A6" s="7">
        <v>46061.812647650462</v>
      </c>
      <c r="B6" s="8">
        <v>0</v>
      </c>
      <c r="C6" s="9">
        <v>5</v>
      </c>
      <c r="D6" s="9">
        <v>4</v>
      </c>
      <c r="E6" s="9">
        <v>1</v>
      </c>
      <c r="F6" s="9">
        <v>3</v>
      </c>
      <c r="G6" s="9">
        <v>4</v>
      </c>
      <c r="H6" s="9">
        <v>5</v>
      </c>
      <c r="I6" s="9">
        <v>4</v>
      </c>
      <c r="J6" s="9">
        <v>3</v>
      </c>
      <c r="K6" s="9">
        <v>4</v>
      </c>
      <c r="L6" s="9">
        <v>4</v>
      </c>
      <c r="M6" s="9">
        <v>3</v>
      </c>
      <c r="N6" s="9">
        <v>4</v>
      </c>
      <c r="O6" s="9">
        <v>4</v>
      </c>
      <c r="P6" s="9">
        <v>4</v>
      </c>
      <c r="Q6" s="9">
        <v>3</v>
      </c>
      <c r="R6" s="9">
        <v>3</v>
      </c>
      <c r="S6" s="9">
        <v>4</v>
      </c>
      <c r="T6" s="9">
        <v>3</v>
      </c>
      <c r="U6" s="9">
        <v>4</v>
      </c>
      <c r="V6" s="9">
        <v>4</v>
      </c>
      <c r="W6" s="9">
        <v>4</v>
      </c>
      <c r="X6" s="9">
        <v>2</v>
      </c>
      <c r="Y6" s="9">
        <v>4</v>
      </c>
      <c r="Z6" s="9">
        <v>3</v>
      </c>
      <c r="AA6" s="9">
        <v>3</v>
      </c>
      <c r="AB6" s="9">
        <v>4</v>
      </c>
      <c r="AC6" s="9">
        <v>4</v>
      </c>
      <c r="AD6" s="9">
        <v>4</v>
      </c>
      <c r="AE6" s="9">
        <v>3</v>
      </c>
      <c r="AF6" s="9">
        <v>4</v>
      </c>
      <c r="AG6" s="9">
        <v>3</v>
      </c>
      <c r="AH6" s="6">
        <f t="shared" si="5"/>
        <v>33</v>
      </c>
      <c r="AI6" s="6">
        <f t="shared" si="0"/>
        <v>15</v>
      </c>
      <c r="AJ6" s="6">
        <f t="shared" si="1"/>
        <v>29</v>
      </c>
      <c r="AK6" s="6">
        <f t="shared" si="2"/>
        <v>24</v>
      </c>
      <c r="AL6" s="6">
        <f t="shared" si="3"/>
        <v>10</v>
      </c>
      <c r="AM6" s="6">
        <f t="shared" si="6"/>
        <v>111</v>
      </c>
      <c r="AN6" s="9">
        <f t="shared" si="7"/>
        <v>2</v>
      </c>
      <c r="AO6">
        <f t="shared" si="8"/>
        <v>3</v>
      </c>
      <c r="AP6">
        <f t="shared" si="9"/>
        <v>2</v>
      </c>
      <c r="AQ6">
        <f t="shared" si="4"/>
        <v>2</v>
      </c>
      <c r="AR6">
        <f t="shared" si="10"/>
        <v>2</v>
      </c>
      <c r="AS6" s="12">
        <f t="shared" si="11"/>
        <v>2</v>
      </c>
    </row>
    <row r="7" spans="1:45" ht="22.5" customHeight="1" x14ac:dyDescent="0.2">
      <c r="A7" s="7">
        <v>46061.814552442127</v>
      </c>
      <c r="B7" s="8">
        <v>0</v>
      </c>
      <c r="C7" s="9">
        <v>4</v>
      </c>
      <c r="D7" s="9">
        <v>3</v>
      </c>
      <c r="E7" s="9">
        <v>3</v>
      </c>
      <c r="F7" s="9">
        <v>4</v>
      </c>
      <c r="G7" s="9">
        <v>5</v>
      </c>
      <c r="H7" s="9">
        <v>4</v>
      </c>
      <c r="I7" s="9">
        <v>4</v>
      </c>
      <c r="J7" s="9">
        <v>4</v>
      </c>
      <c r="K7" s="9">
        <v>4</v>
      </c>
      <c r="L7" s="9">
        <v>4</v>
      </c>
      <c r="M7" s="9">
        <v>3</v>
      </c>
      <c r="N7" s="9">
        <v>4</v>
      </c>
      <c r="O7" s="9">
        <v>3</v>
      </c>
      <c r="P7" s="9">
        <v>4</v>
      </c>
      <c r="Q7" s="9">
        <v>4</v>
      </c>
      <c r="R7" s="9">
        <v>4</v>
      </c>
      <c r="S7" s="9">
        <v>4</v>
      </c>
      <c r="T7" s="9">
        <v>4</v>
      </c>
      <c r="U7" s="9">
        <v>4</v>
      </c>
      <c r="V7" s="9">
        <v>4</v>
      </c>
      <c r="W7" s="9">
        <v>4</v>
      </c>
      <c r="X7" s="9">
        <v>4</v>
      </c>
      <c r="Y7" s="9">
        <v>4</v>
      </c>
      <c r="Z7" s="9">
        <v>4</v>
      </c>
      <c r="AA7" s="9">
        <v>4</v>
      </c>
      <c r="AB7" s="9">
        <v>4</v>
      </c>
      <c r="AC7" s="9">
        <v>4</v>
      </c>
      <c r="AD7" s="9">
        <v>4</v>
      </c>
      <c r="AE7" s="9">
        <v>3</v>
      </c>
      <c r="AF7" s="9">
        <v>4</v>
      </c>
      <c r="AG7" s="9">
        <v>3</v>
      </c>
      <c r="AH7" s="6">
        <f t="shared" si="5"/>
        <v>35</v>
      </c>
      <c r="AI7" s="6">
        <f t="shared" si="0"/>
        <v>14</v>
      </c>
      <c r="AJ7" s="6">
        <f t="shared" si="1"/>
        <v>32</v>
      </c>
      <c r="AK7" s="6">
        <f t="shared" si="2"/>
        <v>28</v>
      </c>
      <c r="AL7" s="6">
        <f t="shared" si="3"/>
        <v>10</v>
      </c>
      <c r="AM7" s="6">
        <f t="shared" si="6"/>
        <v>119</v>
      </c>
      <c r="AN7" s="9">
        <f t="shared" si="7"/>
        <v>3</v>
      </c>
      <c r="AO7">
        <f t="shared" si="8"/>
        <v>2</v>
      </c>
      <c r="AP7">
        <f t="shared" si="9"/>
        <v>3</v>
      </c>
      <c r="AQ7">
        <f t="shared" si="4"/>
        <v>2</v>
      </c>
      <c r="AR7">
        <f t="shared" si="10"/>
        <v>2</v>
      </c>
      <c r="AS7" s="12">
        <f t="shared" si="11"/>
        <v>3</v>
      </c>
    </row>
    <row r="8" spans="1:45" ht="22.5" customHeight="1" x14ac:dyDescent="0.2">
      <c r="A8" s="7">
        <v>46061.824655567129</v>
      </c>
      <c r="B8" s="8">
        <v>0</v>
      </c>
      <c r="C8" s="9">
        <v>4</v>
      </c>
      <c r="D8" s="9">
        <v>3</v>
      </c>
      <c r="E8" s="9">
        <v>3</v>
      </c>
      <c r="F8" s="9">
        <v>3</v>
      </c>
      <c r="G8" s="9">
        <v>3</v>
      </c>
      <c r="H8" s="9">
        <v>3</v>
      </c>
      <c r="I8" s="9">
        <v>3</v>
      </c>
      <c r="J8" s="9">
        <v>3</v>
      </c>
      <c r="K8" s="9">
        <v>3</v>
      </c>
      <c r="L8" s="9">
        <v>3</v>
      </c>
      <c r="M8" s="9">
        <v>3</v>
      </c>
      <c r="N8" s="9">
        <v>3</v>
      </c>
      <c r="O8" s="9">
        <v>3</v>
      </c>
      <c r="P8" s="9">
        <v>3</v>
      </c>
      <c r="Q8" s="9">
        <v>3</v>
      </c>
      <c r="R8" s="9">
        <v>3</v>
      </c>
      <c r="S8" s="9">
        <v>3</v>
      </c>
      <c r="T8" s="9">
        <v>3</v>
      </c>
      <c r="U8" s="9">
        <v>3</v>
      </c>
      <c r="V8" s="9">
        <v>3</v>
      </c>
      <c r="W8" s="9">
        <v>3</v>
      </c>
      <c r="X8" s="9">
        <v>3</v>
      </c>
      <c r="Y8" s="9">
        <v>3</v>
      </c>
      <c r="Z8" s="9">
        <v>3</v>
      </c>
      <c r="AA8" s="9">
        <v>3</v>
      </c>
      <c r="AB8" s="9">
        <v>3</v>
      </c>
      <c r="AC8" s="9">
        <v>3</v>
      </c>
      <c r="AD8" s="9">
        <v>3</v>
      </c>
      <c r="AE8" s="9">
        <v>3</v>
      </c>
      <c r="AF8" s="9">
        <v>3</v>
      </c>
      <c r="AG8" s="9">
        <v>3</v>
      </c>
      <c r="AH8" s="6">
        <f t="shared" si="5"/>
        <v>28</v>
      </c>
      <c r="AI8" s="6">
        <f t="shared" si="0"/>
        <v>12</v>
      </c>
      <c r="AJ8" s="6">
        <f t="shared" si="1"/>
        <v>24</v>
      </c>
      <c r="AK8" s="6">
        <f t="shared" si="2"/>
        <v>21</v>
      </c>
      <c r="AL8" s="6">
        <f t="shared" si="3"/>
        <v>9</v>
      </c>
      <c r="AM8" s="6">
        <f t="shared" si="6"/>
        <v>94</v>
      </c>
      <c r="AN8" s="9">
        <f t="shared" si="7"/>
        <v>2</v>
      </c>
      <c r="AO8">
        <f t="shared" si="8"/>
        <v>2</v>
      </c>
      <c r="AP8">
        <f t="shared" si="9"/>
        <v>1</v>
      </c>
      <c r="AQ8">
        <f t="shared" si="4"/>
        <v>1</v>
      </c>
      <c r="AR8" s="10">
        <f t="shared" si="10"/>
        <v>2</v>
      </c>
      <c r="AS8" s="12">
        <f t="shared" si="11"/>
        <v>2</v>
      </c>
    </row>
    <row r="9" spans="1:45" ht="22.5" customHeight="1" x14ac:dyDescent="0.2">
      <c r="A9" s="7">
        <v>46061.854160405092</v>
      </c>
      <c r="B9" s="8">
        <v>0</v>
      </c>
      <c r="C9" s="9">
        <v>4</v>
      </c>
      <c r="D9" s="9">
        <v>4</v>
      </c>
      <c r="E9" s="9">
        <v>4</v>
      </c>
      <c r="F9" s="9">
        <v>4</v>
      </c>
      <c r="G9" s="9">
        <v>4</v>
      </c>
      <c r="H9" s="9">
        <v>4</v>
      </c>
      <c r="I9" s="9">
        <v>3</v>
      </c>
      <c r="J9" s="9">
        <v>3</v>
      </c>
      <c r="K9" s="9">
        <v>4</v>
      </c>
      <c r="L9" s="9">
        <v>3</v>
      </c>
      <c r="M9" s="9">
        <v>4</v>
      </c>
      <c r="N9" s="9">
        <v>4</v>
      </c>
      <c r="O9" s="9">
        <v>4</v>
      </c>
      <c r="P9" s="9">
        <v>4</v>
      </c>
      <c r="Q9" s="9">
        <v>4</v>
      </c>
      <c r="R9" s="9">
        <v>3</v>
      </c>
      <c r="S9" s="9">
        <v>3</v>
      </c>
      <c r="T9" s="9">
        <v>3</v>
      </c>
      <c r="U9" s="9">
        <v>2</v>
      </c>
      <c r="V9" s="9">
        <v>2</v>
      </c>
      <c r="W9" s="9">
        <v>3</v>
      </c>
      <c r="X9" s="9">
        <v>4</v>
      </c>
      <c r="Y9" s="9">
        <v>4</v>
      </c>
      <c r="Z9" s="9">
        <v>3</v>
      </c>
      <c r="AA9" s="9">
        <v>3</v>
      </c>
      <c r="AB9" s="9">
        <v>3</v>
      </c>
      <c r="AC9" s="9">
        <v>4</v>
      </c>
      <c r="AD9" s="9">
        <v>4</v>
      </c>
      <c r="AE9" s="9">
        <v>4</v>
      </c>
      <c r="AF9" s="9">
        <v>2</v>
      </c>
      <c r="AG9" s="9">
        <v>3</v>
      </c>
      <c r="AH9" s="6">
        <f t="shared" si="5"/>
        <v>34</v>
      </c>
      <c r="AI9" s="6">
        <f t="shared" si="0"/>
        <v>15</v>
      </c>
      <c r="AJ9" s="6">
        <f t="shared" si="1"/>
        <v>24</v>
      </c>
      <c r="AK9" s="6">
        <f t="shared" si="2"/>
        <v>25</v>
      </c>
      <c r="AL9" s="6">
        <f t="shared" si="3"/>
        <v>9</v>
      </c>
      <c r="AM9" s="6">
        <f t="shared" si="6"/>
        <v>107</v>
      </c>
      <c r="AN9" s="9">
        <f t="shared" si="7"/>
        <v>2</v>
      </c>
      <c r="AO9">
        <f t="shared" si="8"/>
        <v>3</v>
      </c>
      <c r="AP9">
        <f t="shared" si="9"/>
        <v>1</v>
      </c>
      <c r="AQ9">
        <f t="shared" si="4"/>
        <v>2</v>
      </c>
      <c r="AR9">
        <f t="shared" si="10"/>
        <v>2</v>
      </c>
      <c r="AS9" s="12">
        <f t="shared" si="11"/>
        <v>2</v>
      </c>
    </row>
    <row r="10" spans="1:45" ht="22.5" customHeight="1" x14ac:dyDescent="0.2">
      <c r="A10" s="7">
        <v>46061.863159513887</v>
      </c>
      <c r="B10" s="8">
        <v>0</v>
      </c>
      <c r="C10" s="9">
        <v>3</v>
      </c>
      <c r="D10" s="9">
        <v>2</v>
      </c>
      <c r="E10" s="9">
        <v>5</v>
      </c>
      <c r="F10" s="9">
        <v>5</v>
      </c>
      <c r="G10" s="9">
        <v>5</v>
      </c>
      <c r="H10" s="9">
        <v>5</v>
      </c>
      <c r="I10" s="9">
        <v>5</v>
      </c>
      <c r="J10" s="9">
        <v>4</v>
      </c>
      <c r="K10" s="9">
        <v>4</v>
      </c>
      <c r="L10" s="9">
        <v>5</v>
      </c>
      <c r="M10" s="9">
        <v>3</v>
      </c>
      <c r="N10" s="9">
        <v>5</v>
      </c>
      <c r="O10" s="9">
        <v>3</v>
      </c>
      <c r="P10" s="9">
        <v>5</v>
      </c>
      <c r="Q10" s="9">
        <v>2</v>
      </c>
      <c r="R10" s="9">
        <v>4</v>
      </c>
      <c r="S10" s="9">
        <v>5</v>
      </c>
      <c r="T10" s="9">
        <v>5</v>
      </c>
      <c r="U10" s="9">
        <v>5</v>
      </c>
      <c r="V10" s="9">
        <v>5</v>
      </c>
      <c r="W10" s="9">
        <v>5</v>
      </c>
      <c r="X10" s="9">
        <v>5</v>
      </c>
      <c r="Y10" s="9">
        <v>5</v>
      </c>
      <c r="Z10" s="9">
        <v>5</v>
      </c>
      <c r="AA10" s="9">
        <v>5</v>
      </c>
      <c r="AB10" s="9">
        <v>5</v>
      </c>
      <c r="AC10" s="9">
        <v>5</v>
      </c>
      <c r="AD10" s="9">
        <v>5</v>
      </c>
      <c r="AE10" s="9">
        <v>5</v>
      </c>
      <c r="AF10" s="9">
        <v>3</v>
      </c>
      <c r="AG10" s="9">
        <v>5</v>
      </c>
      <c r="AH10" s="6">
        <f t="shared" si="5"/>
        <v>38</v>
      </c>
      <c r="AI10" s="6">
        <f t="shared" si="0"/>
        <v>16</v>
      </c>
      <c r="AJ10" s="6">
        <f t="shared" si="1"/>
        <v>36</v>
      </c>
      <c r="AK10" s="6">
        <f t="shared" si="2"/>
        <v>35</v>
      </c>
      <c r="AL10" s="6">
        <f t="shared" si="3"/>
        <v>13</v>
      </c>
      <c r="AM10" s="6">
        <f t="shared" si="6"/>
        <v>138</v>
      </c>
      <c r="AN10" s="9">
        <f t="shared" si="7"/>
        <v>3</v>
      </c>
      <c r="AO10">
        <f t="shared" si="8"/>
        <v>3</v>
      </c>
      <c r="AP10">
        <f t="shared" si="9"/>
        <v>3</v>
      </c>
      <c r="AQ10">
        <f t="shared" si="4"/>
        <v>3</v>
      </c>
      <c r="AR10">
        <f t="shared" si="10"/>
        <v>3</v>
      </c>
      <c r="AS10" s="12">
        <f t="shared" si="11"/>
        <v>3</v>
      </c>
    </row>
    <row r="11" spans="1:45" ht="22.5" customHeight="1" x14ac:dyDescent="0.2">
      <c r="A11" s="7">
        <v>46061.865836331017</v>
      </c>
      <c r="B11" s="8">
        <v>0</v>
      </c>
      <c r="C11" s="9">
        <v>3</v>
      </c>
      <c r="D11" s="9">
        <v>2</v>
      </c>
      <c r="E11" s="9">
        <v>2</v>
      </c>
      <c r="F11" s="9">
        <v>1</v>
      </c>
      <c r="G11" s="9">
        <v>1</v>
      </c>
      <c r="H11" s="9">
        <v>3</v>
      </c>
      <c r="I11" s="9">
        <v>4</v>
      </c>
      <c r="J11" s="9">
        <v>3</v>
      </c>
      <c r="K11" s="9">
        <v>1</v>
      </c>
      <c r="L11" s="9">
        <v>2</v>
      </c>
      <c r="M11" s="9">
        <v>2</v>
      </c>
      <c r="N11" s="9">
        <v>2</v>
      </c>
      <c r="O11" s="9">
        <v>1</v>
      </c>
      <c r="P11" s="9">
        <v>4</v>
      </c>
      <c r="Q11" s="9">
        <v>2</v>
      </c>
      <c r="R11" s="9">
        <v>3</v>
      </c>
      <c r="S11" s="9">
        <v>3</v>
      </c>
      <c r="T11" s="9">
        <v>3</v>
      </c>
      <c r="U11" s="9">
        <v>3</v>
      </c>
      <c r="V11" s="9">
        <v>3</v>
      </c>
      <c r="W11" s="9">
        <v>2</v>
      </c>
      <c r="X11" s="9">
        <v>3</v>
      </c>
      <c r="Y11" s="9">
        <v>3</v>
      </c>
      <c r="Z11" s="9">
        <v>2</v>
      </c>
      <c r="AA11" s="9">
        <v>3</v>
      </c>
      <c r="AB11" s="9">
        <v>4</v>
      </c>
      <c r="AC11" s="9">
        <v>4</v>
      </c>
      <c r="AD11" s="9">
        <v>3</v>
      </c>
      <c r="AE11" s="9">
        <v>1</v>
      </c>
      <c r="AF11" s="9">
        <v>1</v>
      </c>
      <c r="AG11" s="9">
        <v>2</v>
      </c>
      <c r="AH11" s="6">
        <f t="shared" si="5"/>
        <v>20</v>
      </c>
      <c r="AI11" s="6">
        <f t="shared" si="0"/>
        <v>7</v>
      </c>
      <c r="AJ11" s="6">
        <f t="shared" si="1"/>
        <v>23</v>
      </c>
      <c r="AK11" s="6">
        <f t="shared" si="2"/>
        <v>22</v>
      </c>
      <c r="AL11" s="6">
        <f t="shared" si="3"/>
        <v>4</v>
      </c>
      <c r="AM11" s="6">
        <f t="shared" si="6"/>
        <v>76</v>
      </c>
      <c r="AN11" s="9">
        <f t="shared" si="7"/>
        <v>1</v>
      </c>
      <c r="AO11">
        <f t="shared" si="8"/>
        <v>1</v>
      </c>
      <c r="AP11">
        <f t="shared" si="9"/>
        <v>1</v>
      </c>
      <c r="AQ11">
        <f t="shared" si="4"/>
        <v>2</v>
      </c>
      <c r="AR11">
        <f t="shared" si="10"/>
        <v>1</v>
      </c>
      <c r="AS11" s="12">
        <f t="shared" si="11"/>
        <v>1</v>
      </c>
    </row>
    <row r="12" spans="1:45" ht="22.5" customHeight="1" x14ac:dyDescent="0.2">
      <c r="A12" s="7">
        <v>46061.917318020831</v>
      </c>
      <c r="B12" s="8">
        <v>0</v>
      </c>
      <c r="C12" s="9">
        <v>3</v>
      </c>
      <c r="D12" s="9">
        <v>3</v>
      </c>
      <c r="E12" s="9">
        <v>3</v>
      </c>
      <c r="F12" s="9">
        <v>3</v>
      </c>
      <c r="G12" s="9">
        <v>3</v>
      </c>
      <c r="H12" s="9">
        <v>3</v>
      </c>
      <c r="I12" s="9">
        <v>3</v>
      </c>
      <c r="J12" s="9">
        <v>3</v>
      </c>
      <c r="K12" s="9">
        <v>3</v>
      </c>
      <c r="L12" s="9">
        <v>3</v>
      </c>
      <c r="M12" s="9">
        <v>3</v>
      </c>
      <c r="N12" s="9">
        <v>3</v>
      </c>
      <c r="O12" s="9">
        <v>3</v>
      </c>
      <c r="P12" s="9">
        <v>3</v>
      </c>
      <c r="Q12" s="9">
        <v>3</v>
      </c>
      <c r="R12" s="9">
        <v>3</v>
      </c>
      <c r="S12" s="9">
        <v>3</v>
      </c>
      <c r="T12" s="9">
        <v>3</v>
      </c>
      <c r="U12" s="9">
        <v>3</v>
      </c>
      <c r="V12" s="9">
        <v>3</v>
      </c>
      <c r="W12" s="9">
        <v>3</v>
      </c>
      <c r="X12" s="9">
        <v>3</v>
      </c>
      <c r="Y12" s="9">
        <v>2</v>
      </c>
      <c r="Z12" s="9">
        <v>4</v>
      </c>
      <c r="AA12" s="9">
        <v>2</v>
      </c>
      <c r="AB12" s="9">
        <v>4</v>
      </c>
      <c r="AC12" s="9">
        <v>2</v>
      </c>
      <c r="AD12" s="9">
        <v>4</v>
      </c>
      <c r="AE12" s="9">
        <v>4</v>
      </c>
      <c r="AF12" s="9">
        <v>4</v>
      </c>
      <c r="AG12" s="9">
        <v>2</v>
      </c>
      <c r="AH12" s="6">
        <f t="shared" si="5"/>
        <v>27</v>
      </c>
      <c r="AI12" s="6">
        <f t="shared" si="0"/>
        <v>12</v>
      </c>
      <c r="AJ12" s="6">
        <f t="shared" si="1"/>
        <v>24</v>
      </c>
      <c r="AK12" s="6">
        <f t="shared" si="2"/>
        <v>21</v>
      </c>
      <c r="AL12" s="6">
        <f t="shared" si="3"/>
        <v>10</v>
      </c>
      <c r="AM12" s="6">
        <f t="shared" si="6"/>
        <v>94</v>
      </c>
      <c r="AN12" s="9">
        <f t="shared" si="7"/>
        <v>2</v>
      </c>
      <c r="AO12">
        <f t="shared" si="8"/>
        <v>2</v>
      </c>
      <c r="AP12">
        <f t="shared" si="9"/>
        <v>1</v>
      </c>
      <c r="AQ12">
        <f t="shared" si="4"/>
        <v>1</v>
      </c>
      <c r="AR12">
        <f t="shared" si="10"/>
        <v>2</v>
      </c>
      <c r="AS12" s="12">
        <f t="shared" si="11"/>
        <v>2</v>
      </c>
    </row>
    <row r="13" spans="1:45" ht="22.5" customHeight="1" x14ac:dyDescent="0.2">
      <c r="A13" s="7">
        <v>46061.919337592597</v>
      </c>
      <c r="B13" s="8">
        <v>0</v>
      </c>
      <c r="C13" s="9">
        <v>3</v>
      </c>
      <c r="D13" s="9">
        <v>3</v>
      </c>
      <c r="E13" s="9">
        <v>4</v>
      </c>
      <c r="F13" s="9">
        <v>4</v>
      </c>
      <c r="G13" s="9">
        <v>2</v>
      </c>
      <c r="H13" s="9">
        <v>2</v>
      </c>
      <c r="I13" s="9">
        <v>1</v>
      </c>
      <c r="J13" s="9">
        <v>4</v>
      </c>
      <c r="K13" s="9">
        <v>3</v>
      </c>
      <c r="L13" s="9">
        <v>3</v>
      </c>
      <c r="M13" s="9">
        <v>3</v>
      </c>
      <c r="N13" s="9">
        <v>3</v>
      </c>
      <c r="O13" s="9">
        <v>2</v>
      </c>
      <c r="P13" s="9">
        <v>4</v>
      </c>
      <c r="Q13" s="9">
        <v>4</v>
      </c>
      <c r="R13" s="9">
        <v>4</v>
      </c>
      <c r="S13" s="9">
        <v>4</v>
      </c>
      <c r="T13" s="9">
        <v>3</v>
      </c>
      <c r="U13" s="9">
        <v>4</v>
      </c>
      <c r="V13" s="9">
        <v>4</v>
      </c>
      <c r="W13" s="9">
        <v>3</v>
      </c>
      <c r="X13" s="9">
        <v>4</v>
      </c>
      <c r="Y13" s="9">
        <v>4</v>
      </c>
      <c r="Z13" s="9">
        <v>3</v>
      </c>
      <c r="AA13" s="9">
        <v>3</v>
      </c>
      <c r="AB13" s="9">
        <v>3</v>
      </c>
      <c r="AC13" s="9">
        <v>3</v>
      </c>
      <c r="AD13" s="9">
        <v>3</v>
      </c>
      <c r="AE13" s="9">
        <v>3</v>
      </c>
      <c r="AF13" s="9">
        <v>2</v>
      </c>
      <c r="AG13" s="9">
        <v>3</v>
      </c>
      <c r="AH13" s="6">
        <f t="shared" si="5"/>
        <v>26</v>
      </c>
      <c r="AI13" s="6">
        <f t="shared" si="0"/>
        <v>11</v>
      </c>
      <c r="AJ13" s="6">
        <f t="shared" si="1"/>
        <v>30</v>
      </c>
      <c r="AK13" s="6">
        <f t="shared" si="2"/>
        <v>23</v>
      </c>
      <c r="AL13" s="6">
        <f t="shared" si="3"/>
        <v>8</v>
      </c>
      <c r="AM13" s="6">
        <f t="shared" si="6"/>
        <v>98</v>
      </c>
      <c r="AN13" s="9">
        <f t="shared" si="7"/>
        <v>2</v>
      </c>
      <c r="AO13">
        <f t="shared" si="8"/>
        <v>2</v>
      </c>
      <c r="AP13">
        <f t="shared" si="9"/>
        <v>2</v>
      </c>
      <c r="AQ13">
        <f t="shared" si="4"/>
        <v>2</v>
      </c>
      <c r="AR13">
        <f t="shared" si="10"/>
        <v>2</v>
      </c>
      <c r="AS13" s="12">
        <f t="shared" si="11"/>
        <v>2</v>
      </c>
    </row>
    <row r="14" spans="1:45" ht="22.5" customHeight="1" x14ac:dyDescent="0.2">
      <c r="A14" s="7">
        <v>46061.922781469912</v>
      </c>
      <c r="B14" s="8">
        <v>0</v>
      </c>
      <c r="C14" s="9">
        <v>3</v>
      </c>
      <c r="D14" s="9">
        <v>4</v>
      </c>
      <c r="E14" s="9">
        <v>2</v>
      </c>
      <c r="F14" s="9">
        <v>2</v>
      </c>
      <c r="G14" s="9">
        <v>4</v>
      </c>
      <c r="H14" s="9">
        <v>5</v>
      </c>
      <c r="I14" s="9">
        <v>2</v>
      </c>
      <c r="J14" s="9">
        <v>4</v>
      </c>
      <c r="K14" s="9">
        <v>4</v>
      </c>
      <c r="L14" s="9">
        <v>5</v>
      </c>
      <c r="M14" s="9">
        <v>4</v>
      </c>
      <c r="N14" s="9">
        <v>4</v>
      </c>
      <c r="O14" s="9">
        <v>1</v>
      </c>
      <c r="P14" s="9">
        <v>4</v>
      </c>
      <c r="Q14" s="9">
        <v>4</v>
      </c>
      <c r="R14" s="9">
        <v>3</v>
      </c>
      <c r="S14" s="9">
        <v>3</v>
      </c>
      <c r="T14" s="9">
        <v>3</v>
      </c>
      <c r="U14" s="9">
        <v>3</v>
      </c>
      <c r="V14" s="9">
        <v>3</v>
      </c>
      <c r="W14" s="9">
        <v>3</v>
      </c>
      <c r="X14" s="9">
        <v>3</v>
      </c>
      <c r="Y14" s="9">
        <v>3</v>
      </c>
      <c r="Z14" s="9">
        <v>2</v>
      </c>
      <c r="AA14" s="9">
        <v>3</v>
      </c>
      <c r="AB14" s="9">
        <v>3</v>
      </c>
      <c r="AC14" s="9">
        <v>2</v>
      </c>
      <c r="AD14" s="9">
        <v>2</v>
      </c>
      <c r="AE14" s="9">
        <v>4</v>
      </c>
      <c r="AF14" s="9">
        <v>3</v>
      </c>
      <c r="AG14" s="9">
        <v>4</v>
      </c>
      <c r="AH14" s="6">
        <f t="shared" si="5"/>
        <v>30</v>
      </c>
      <c r="AI14" s="6">
        <f t="shared" si="0"/>
        <v>14</v>
      </c>
      <c r="AJ14" s="6">
        <f t="shared" si="1"/>
        <v>26</v>
      </c>
      <c r="AK14" s="6">
        <f t="shared" si="2"/>
        <v>18</v>
      </c>
      <c r="AL14" s="6">
        <f t="shared" si="3"/>
        <v>11</v>
      </c>
      <c r="AM14" s="6">
        <f t="shared" si="6"/>
        <v>99</v>
      </c>
      <c r="AN14" s="9">
        <f t="shared" si="7"/>
        <v>2</v>
      </c>
      <c r="AO14">
        <f t="shared" si="8"/>
        <v>2</v>
      </c>
      <c r="AP14">
        <f t="shared" si="9"/>
        <v>2</v>
      </c>
      <c r="AQ14">
        <f t="shared" si="4"/>
        <v>1</v>
      </c>
      <c r="AR14">
        <f t="shared" si="10"/>
        <v>3</v>
      </c>
      <c r="AS14" s="12">
        <f t="shared" si="11"/>
        <v>2</v>
      </c>
    </row>
    <row r="15" spans="1:45" ht="22.5" customHeight="1" x14ac:dyDescent="0.2">
      <c r="A15" s="7">
        <v>46061.932515555556</v>
      </c>
      <c r="B15" s="8">
        <v>0</v>
      </c>
      <c r="C15" s="9">
        <v>3</v>
      </c>
      <c r="D15" s="9">
        <v>3</v>
      </c>
      <c r="E15" s="9">
        <v>1</v>
      </c>
      <c r="F15" s="9">
        <v>4</v>
      </c>
      <c r="G15" s="9">
        <v>2</v>
      </c>
      <c r="H15" s="9">
        <v>4</v>
      </c>
      <c r="I15" s="9">
        <v>5</v>
      </c>
      <c r="J15" s="9">
        <v>5</v>
      </c>
      <c r="K15" s="9">
        <v>4</v>
      </c>
      <c r="L15" s="9">
        <v>2</v>
      </c>
      <c r="M15" s="9">
        <v>2</v>
      </c>
      <c r="N15" s="9">
        <v>2</v>
      </c>
      <c r="O15" s="9">
        <v>1</v>
      </c>
      <c r="P15" s="9">
        <v>3</v>
      </c>
      <c r="Q15" s="9">
        <v>2</v>
      </c>
      <c r="R15" s="9">
        <v>2</v>
      </c>
      <c r="S15" s="9">
        <v>2</v>
      </c>
      <c r="T15" s="9">
        <v>2</v>
      </c>
      <c r="U15" s="9">
        <v>2</v>
      </c>
      <c r="V15" s="9">
        <v>2</v>
      </c>
      <c r="W15" s="9">
        <v>4</v>
      </c>
      <c r="X15" s="9">
        <v>3</v>
      </c>
      <c r="Y15" s="9">
        <v>2</v>
      </c>
      <c r="Z15" s="9">
        <v>4</v>
      </c>
      <c r="AA15" s="9">
        <v>2</v>
      </c>
      <c r="AB15" s="9">
        <v>4</v>
      </c>
      <c r="AC15" s="9">
        <v>2</v>
      </c>
      <c r="AD15" s="9">
        <v>2</v>
      </c>
      <c r="AE15" s="9">
        <v>2</v>
      </c>
      <c r="AF15" s="9">
        <v>2</v>
      </c>
      <c r="AG15" s="9">
        <v>2</v>
      </c>
      <c r="AH15" s="6">
        <f t="shared" si="5"/>
        <v>31</v>
      </c>
      <c r="AI15" s="6">
        <f t="shared" si="0"/>
        <v>7</v>
      </c>
      <c r="AJ15" s="6">
        <f t="shared" si="1"/>
        <v>19</v>
      </c>
      <c r="AK15" s="6">
        <f t="shared" si="2"/>
        <v>19</v>
      </c>
      <c r="AL15" s="6">
        <f t="shared" si="3"/>
        <v>6</v>
      </c>
      <c r="AM15" s="6">
        <f t="shared" si="6"/>
        <v>82</v>
      </c>
      <c r="AN15" s="9">
        <f t="shared" si="7"/>
        <v>2</v>
      </c>
      <c r="AO15">
        <f t="shared" si="8"/>
        <v>1</v>
      </c>
      <c r="AP15">
        <f t="shared" si="9"/>
        <v>1</v>
      </c>
      <c r="AQ15">
        <f t="shared" si="4"/>
        <v>1</v>
      </c>
      <c r="AR15">
        <f t="shared" si="10"/>
        <v>1</v>
      </c>
      <c r="AS15" s="12">
        <f t="shared" si="11"/>
        <v>1</v>
      </c>
    </row>
    <row r="16" spans="1:45" ht="22.5" customHeight="1" x14ac:dyDescent="0.2">
      <c r="A16" s="7">
        <v>46061.941008981477</v>
      </c>
      <c r="B16" s="8">
        <v>0</v>
      </c>
      <c r="C16" s="9">
        <v>2</v>
      </c>
      <c r="D16" s="9">
        <v>2</v>
      </c>
      <c r="E16" s="9">
        <v>2</v>
      </c>
      <c r="F16" s="9">
        <v>2</v>
      </c>
      <c r="G16" s="9">
        <v>2</v>
      </c>
      <c r="H16" s="9">
        <v>1</v>
      </c>
      <c r="I16" s="9">
        <v>2</v>
      </c>
      <c r="J16" s="9">
        <v>2</v>
      </c>
      <c r="K16" s="9">
        <v>3</v>
      </c>
      <c r="L16" s="9">
        <v>2</v>
      </c>
      <c r="M16" s="9">
        <v>1</v>
      </c>
      <c r="N16" s="9">
        <v>1</v>
      </c>
      <c r="O16" s="9">
        <v>1</v>
      </c>
      <c r="P16" s="9">
        <v>5</v>
      </c>
      <c r="Q16" s="9">
        <v>2</v>
      </c>
      <c r="R16" s="9">
        <v>1</v>
      </c>
      <c r="S16" s="9">
        <v>2</v>
      </c>
      <c r="T16" s="9">
        <v>1</v>
      </c>
      <c r="U16" s="9">
        <v>2</v>
      </c>
      <c r="V16" s="9">
        <v>4</v>
      </c>
      <c r="W16" s="9">
        <v>2</v>
      </c>
      <c r="X16" s="9">
        <v>2</v>
      </c>
      <c r="Y16" s="9">
        <v>5</v>
      </c>
      <c r="Z16" s="9">
        <v>3</v>
      </c>
      <c r="AA16" s="9">
        <v>2</v>
      </c>
      <c r="AB16" s="9">
        <v>5</v>
      </c>
      <c r="AC16" s="9">
        <v>5</v>
      </c>
      <c r="AD16" s="9">
        <v>5</v>
      </c>
      <c r="AE16" s="9">
        <v>2</v>
      </c>
      <c r="AF16" s="9">
        <v>1</v>
      </c>
      <c r="AG16" s="9">
        <v>1</v>
      </c>
      <c r="AH16" s="6">
        <f t="shared" si="5"/>
        <v>18</v>
      </c>
      <c r="AI16" s="6">
        <f t="shared" si="0"/>
        <v>5</v>
      </c>
      <c r="AJ16" s="6">
        <f t="shared" si="1"/>
        <v>19</v>
      </c>
      <c r="AK16" s="6">
        <f t="shared" si="2"/>
        <v>27</v>
      </c>
      <c r="AL16" s="6">
        <f t="shared" si="3"/>
        <v>4</v>
      </c>
      <c r="AM16" s="13">
        <f t="shared" si="6"/>
        <v>73</v>
      </c>
      <c r="AN16" s="9">
        <f t="shared" si="7"/>
        <v>1</v>
      </c>
      <c r="AO16">
        <f t="shared" si="8"/>
        <v>1</v>
      </c>
      <c r="AP16">
        <f t="shared" si="9"/>
        <v>1</v>
      </c>
      <c r="AQ16">
        <f t="shared" si="4"/>
        <v>2</v>
      </c>
      <c r="AR16">
        <f t="shared" si="10"/>
        <v>1</v>
      </c>
      <c r="AS16" s="12">
        <f t="shared" si="11"/>
        <v>1</v>
      </c>
    </row>
    <row r="17" spans="1:45" ht="22.5" customHeight="1" x14ac:dyDescent="0.2">
      <c r="A17" s="7">
        <v>46061.942297465277</v>
      </c>
      <c r="B17" s="8">
        <v>0</v>
      </c>
      <c r="C17" s="9">
        <v>3</v>
      </c>
      <c r="D17" s="9">
        <v>2</v>
      </c>
      <c r="E17" s="9">
        <v>4</v>
      </c>
      <c r="F17" s="9">
        <v>2</v>
      </c>
      <c r="G17" s="9">
        <v>3</v>
      </c>
      <c r="H17" s="9">
        <v>2</v>
      </c>
      <c r="I17" s="9">
        <v>3</v>
      </c>
      <c r="J17" s="9">
        <v>4</v>
      </c>
      <c r="K17" s="9">
        <v>4</v>
      </c>
      <c r="L17" s="9">
        <v>3</v>
      </c>
      <c r="M17" s="9">
        <v>3</v>
      </c>
      <c r="N17" s="9">
        <v>3</v>
      </c>
      <c r="O17" s="9">
        <v>3</v>
      </c>
      <c r="P17" s="9">
        <v>3</v>
      </c>
      <c r="Q17" s="9">
        <v>3</v>
      </c>
      <c r="R17" s="9">
        <v>4</v>
      </c>
      <c r="S17" s="9">
        <v>4</v>
      </c>
      <c r="T17" s="9">
        <v>4</v>
      </c>
      <c r="U17" s="9">
        <v>4</v>
      </c>
      <c r="V17" s="9">
        <v>4</v>
      </c>
      <c r="W17" s="9">
        <v>5</v>
      </c>
      <c r="X17" s="9">
        <v>4</v>
      </c>
      <c r="Y17" s="9">
        <v>4</v>
      </c>
      <c r="Z17" s="9">
        <v>3</v>
      </c>
      <c r="AA17" s="9">
        <v>3</v>
      </c>
      <c r="AB17" s="9">
        <v>3</v>
      </c>
      <c r="AC17" s="9">
        <v>4</v>
      </c>
      <c r="AD17" s="9">
        <v>4</v>
      </c>
      <c r="AE17" s="9">
        <v>4</v>
      </c>
      <c r="AF17" s="9">
        <v>2</v>
      </c>
      <c r="AG17" s="9">
        <v>3</v>
      </c>
      <c r="AH17" s="6">
        <f t="shared" si="5"/>
        <v>27</v>
      </c>
      <c r="AI17" s="6">
        <f t="shared" si="0"/>
        <v>12</v>
      </c>
      <c r="AJ17" s="6">
        <f t="shared" si="1"/>
        <v>31</v>
      </c>
      <c r="AK17" s="6">
        <f t="shared" si="2"/>
        <v>25</v>
      </c>
      <c r="AL17" s="6">
        <f t="shared" si="3"/>
        <v>9</v>
      </c>
      <c r="AM17" s="6">
        <f t="shared" si="6"/>
        <v>104</v>
      </c>
      <c r="AN17" s="9">
        <f t="shared" si="7"/>
        <v>2</v>
      </c>
      <c r="AO17">
        <f t="shared" si="8"/>
        <v>2</v>
      </c>
      <c r="AP17">
        <f t="shared" si="9"/>
        <v>2</v>
      </c>
      <c r="AQ17">
        <f t="shared" si="4"/>
        <v>2</v>
      </c>
      <c r="AR17">
        <f t="shared" si="10"/>
        <v>2</v>
      </c>
      <c r="AS17" s="12">
        <f t="shared" si="11"/>
        <v>2</v>
      </c>
    </row>
    <row r="18" spans="1:45" ht="22.5" customHeight="1" x14ac:dyDescent="0.2">
      <c r="A18" s="7">
        <v>46061.942645798612</v>
      </c>
      <c r="B18" s="8">
        <v>0</v>
      </c>
      <c r="C18" s="9">
        <v>4</v>
      </c>
      <c r="D18" s="9">
        <v>5</v>
      </c>
      <c r="E18" s="9">
        <v>3</v>
      </c>
      <c r="F18" s="9">
        <v>4</v>
      </c>
      <c r="G18" s="9">
        <v>4</v>
      </c>
      <c r="H18" s="9">
        <v>4</v>
      </c>
      <c r="I18" s="9">
        <v>3</v>
      </c>
      <c r="J18" s="9">
        <v>3</v>
      </c>
      <c r="K18" s="9">
        <v>3</v>
      </c>
      <c r="L18" s="9">
        <v>4</v>
      </c>
      <c r="M18" s="9">
        <v>4</v>
      </c>
      <c r="N18" s="9">
        <v>4</v>
      </c>
      <c r="O18" s="9">
        <v>3</v>
      </c>
      <c r="P18" s="9">
        <v>3</v>
      </c>
      <c r="Q18" s="9">
        <v>3</v>
      </c>
      <c r="R18" s="9">
        <v>3</v>
      </c>
      <c r="S18" s="9">
        <v>3</v>
      </c>
      <c r="T18" s="9">
        <v>4</v>
      </c>
      <c r="U18" s="9">
        <v>3</v>
      </c>
      <c r="V18" s="9">
        <v>3</v>
      </c>
      <c r="W18" s="9">
        <v>3</v>
      </c>
      <c r="X18" s="9">
        <v>3</v>
      </c>
      <c r="Y18" s="9">
        <v>4</v>
      </c>
      <c r="Z18" s="9">
        <v>4</v>
      </c>
      <c r="AA18" s="9">
        <v>4</v>
      </c>
      <c r="AB18" s="9">
        <v>4</v>
      </c>
      <c r="AC18" s="9">
        <v>4</v>
      </c>
      <c r="AD18" s="9">
        <v>4</v>
      </c>
      <c r="AE18" s="9">
        <v>4</v>
      </c>
      <c r="AF18" s="9">
        <v>3</v>
      </c>
      <c r="AG18" s="9">
        <v>4</v>
      </c>
      <c r="AH18" s="6">
        <f t="shared" si="5"/>
        <v>33</v>
      </c>
      <c r="AI18" s="6">
        <f t="shared" si="0"/>
        <v>15</v>
      </c>
      <c r="AJ18" s="6">
        <f t="shared" si="1"/>
        <v>25</v>
      </c>
      <c r="AK18" s="6">
        <f t="shared" si="2"/>
        <v>27</v>
      </c>
      <c r="AL18" s="6">
        <f t="shared" si="3"/>
        <v>11</v>
      </c>
      <c r="AM18" s="6">
        <f t="shared" si="6"/>
        <v>111</v>
      </c>
      <c r="AN18" s="9">
        <f t="shared" si="7"/>
        <v>2</v>
      </c>
      <c r="AO18">
        <f t="shared" si="8"/>
        <v>3</v>
      </c>
      <c r="AP18">
        <f t="shared" si="9"/>
        <v>2</v>
      </c>
      <c r="AQ18">
        <f t="shared" si="4"/>
        <v>2</v>
      </c>
      <c r="AR18">
        <f t="shared" si="10"/>
        <v>3</v>
      </c>
      <c r="AS18" s="12">
        <f t="shared" si="11"/>
        <v>2</v>
      </c>
    </row>
    <row r="19" spans="1:45" ht="22.5" customHeight="1" x14ac:dyDescent="0.2">
      <c r="A19" s="7">
        <v>46061.945838958331</v>
      </c>
      <c r="B19" s="8">
        <v>0</v>
      </c>
      <c r="C19" s="9">
        <v>4</v>
      </c>
      <c r="D19" s="9">
        <v>4</v>
      </c>
      <c r="E19" s="9">
        <v>3</v>
      </c>
      <c r="F19" s="9">
        <v>4</v>
      </c>
      <c r="G19" s="9">
        <v>3</v>
      </c>
      <c r="H19" s="9">
        <v>3</v>
      </c>
      <c r="I19" s="9">
        <v>4</v>
      </c>
      <c r="J19" s="9">
        <v>3</v>
      </c>
      <c r="K19" s="9">
        <v>3</v>
      </c>
      <c r="L19" s="9">
        <v>4</v>
      </c>
      <c r="M19" s="9">
        <v>3</v>
      </c>
      <c r="N19" s="9">
        <v>3</v>
      </c>
      <c r="O19" s="9">
        <v>3</v>
      </c>
      <c r="P19" s="9">
        <v>3</v>
      </c>
      <c r="Q19" s="9">
        <v>3</v>
      </c>
      <c r="R19" s="9">
        <v>3</v>
      </c>
      <c r="S19" s="9">
        <v>3</v>
      </c>
      <c r="T19" s="9">
        <v>3</v>
      </c>
      <c r="U19" s="9">
        <v>3</v>
      </c>
      <c r="V19" s="9">
        <v>3</v>
      </c>
      <c r="W19" s="9">
        <v>3</v>
      </c>
      <c r="X19" s="9">
        <v>3</v>
      </c>
      <c r="Y19" s="9">
        <v>3</v>
      </c>
      <c r="Z19" s="9">
        <v>3</v>
      </c>
      <c r="AA19" s="9">
        <v>3</v>
      </c>
      <c r="AB19" s="9">
        <v>3</v>
      </c>
      <c r="AC19" s="9">
        <v>3</v>
      </c>
      <c r="AD19" s="9">
        <v>3</v>
      </c>
      <c r="AE19" s="9">
        <v>3</v>
      </c>
      <c r="AF19" s="9">
        <v>3</v>
      </c>
      <c r="AG19" s="9">
        <v>3</v>
      </c>
      <c r="AH19" s="6">
        <f t="shared" si="5"/>
        <v>31</v>
      </c>
      <c r="AI19" s="6">
        <f t="shared" si="0"/>
        <v>13</v>
      </c>
      <c r="AJ19" s="6">
        <f t="shared" si="1"/>
        <v>24</v>
      </c>
      <c r="AK19" s="6">
        <f t="shared" si="2"/>
        <v>21</v>
      </c>
      <c r="AL19" s="6">
        <f t="shared" si="3"/>
        <v>9</v>
      </c>
      <c r="AM19" s="6">
        <f t="shared" si="6"/>
        <v>98</v>
      </c>
      <c r="AN19" s="9">
        <f t="shared" si="7"/>
        <v>2</v>
      </c>
      <c r="AO19">
        <f t="shared" si="8"/>
        <v>2</v>
      </c>
      <c r="AP19">
        <f t="shared" si="9"/>
        <v>1</v>
      </c>
      <c r="AQ19">
        <f t="shared" si="4"/>
        <v>1</v>
      </c>
      <c r="AR19">
        <f t="shared" si="10"/>
        <v>2</v>
      </c>
      <c r="AS19" s="12">
        <f t="shared" si="11"/>
        <v>2</v>
      </c>
    </row>
    <row r="20" spans="1:45" ht="22.5" customHeight="1" x14ac:dyDescent="0.2">
      <c r="A20" s="7">
        <v>46061.96320298611</v>
      </c>
      <c r="B20" s="8">
        <v>0</v>
      </c>
      <c r="C20" s="9">
        <v>4</v>
      </c>
      <c r="D20" s="9">
        <v>3</v>
      </c>
      <c r="E20" s="9">
        <v>1</v>
      </c>
      <c r="F20" s="9">
        <v>4</v>
      </c>
      <c r="G20" s="9">
        <v>4</v>
      </c>
      <c r="H20" s="9">
        <v>4</v>
      </c>
      <c r="I20" s="9">
        <v>4</v>
      </c>
      <c r="J20" s="9">
        <v>4</v>
      </c>
      <c r="K20" s="9">
        <v>4</v>
      </c>
      <c r="L20" s="9">
        <v>4</v>
      </c>
      <c r="M20" s="9">
        <v>4</v>
      </c>
      <c r="N20" s="9">
        <v>1</v>
      </c>
      <c r="O20" s="9">
        <v>4</v>
      </c>
      <c r="P20" s="9">
        <v>2</v>
      </c>
      <c r="Q20" s="9">
        <v>3</v>
      </c>
      <c r="R20" s="9">
        <v>4</v>
      </c>
      <c r="S20" s="9">
        <v>3</v>
      </c>
      <c r="T20" s="9">
        <v>3</v>
      </c>
      <c r="U20" s="9">
        <v>4</v>
      </c>
      <c r="V20" s="9">
        <v>4</v>
      </c>
      <c r="W20" s="9">
        <v>4</v>
      </c>
      <c r="X20" s="9">
        <v>4</v>
      </c>
      <c r="Y20" s="9">
        <v>5</v>
      </c>
      <c r="Z20" s="9">
        <v>4</v>
      </c>
      <c r="AA20" s="9">
        <v>5</v>
      </c>
      <c r="AB20" s="9">
        <v>5</v>
      </c>
      <c r="AC20" s="9">
        <v>5</v>
      </c>
      <c r="AD20" s="9">
        <v>5</v>
      </c>
      <c r="AE20" s="9">
        <v>2</v>
      </c>
      <c r="AF20" s="9">
        <v>2</v>
      </c>
      <c r="AG20" s="9">
        <v>2</v>
      </c>
      <c r="AH20" s="6">
        <f t="shared" si="5"/>
        <v>32</v>
      </c>
      <c r="AI20" s="6">
        <f t="shared" si="0"/>
        <v>13</v>
      </c>
      <c r="AJ20" s="6">
        <f t="shared" si="1"/>
        <v>27</v>
      </c>
      <c r="AK20" s="6">
        <f t="shared" si="2"/>
        <v>33</v>
      </c>
      <c r="AL20" s="6">
        <f t="shared" si="3"/>
        <v>6</v>
      </c>
      <c r="AM20" s="6">
        <f t="shared" si="6"/>
        <v>111</v>
      </c>
      <c r="AN20" s="9">
        <f t="shared" si="7"/>
        <v>2</v>
      </c>
      <c r="AO20">
        <f t="shared" si="8"/>
        <v>2</v>
      </c>
      <c r="AP20">
        <f t="shared" si="9"/>
        <v>2</v>
      </c>
      <c r="AQ20">
        <f t="shared" si="4"/>
        <v>3</v>
      </c>
      <c r="AR20">
        <f t="shared" si="10"/>
        <v>1</v>
      </c>
      <c r="AS20" s="12">
        <f t="shared" si="11"/>
        <v>2</v>
      </c>
    </row>
    <row r="21" spans="1:45" ht="22.5" customHeight="1" x14ac:dyDescent="0.2">
      <c r="A21" s="7">
        <v>46061.98048165509</v>
      </c>
      <c r="B21" s="8">
        <v>0</v>
      </c>
      <c r="C21" s="9">
        <v>1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9">
        <v>1</v>
      </c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9">
        <v>1</v>
      </c>
      <c r="W21" s="9">
        <v>1</v>
      </c>
      <c r="X21" s="9">
        <v>1</v>
      </c>
      <c r="Y21" s="9">
        <v>1</v>
      </c>
      <c r="Z21" s="9">
        <v>1</v>
      </c>
      <c r="AA21" s="9">
        <v>1</v>
      </c>
      <c r="AB21" s="9">
        <v>1</v>
      </c>
      <c r="AC21" s="9">
        <v>1</v>
      </c>
      <c r="AD21" s="9">
        <v>1</v>
      </c>
      <c r="AE21" s="9">
        <v>1</v>
      </c>
      <c r="AF21" s="9">
        <v>1</v>
      </c>
      <c r="AG21" s="9">
        <v>1</v>
      </c>
      <c r="AH21" s="6">
        <f t="shared" si="5"/>
        <v>9</v>
      </c>
      <c r="AI21" s="6">
        <f t="shared" si="0"/>
        <v>4</v>
      </c>
      <c r="AJ21" s="6">
        <f t="shared" si="1"/>
        <v>8</v>
      </c>
      <c r="AK21" s="6">
        <f t="shared" si="2"/>
        <v>7</v>
      </c>
      <c r="AL21" s="6">
        <f t="shared" si="3"/>
        <v>3</v>
      </c>
      <c r="AM21" s="6">
        <f t="shared" si="6"/>
        <v>31</v>
      </c>
      <c r="AN21" s="9">
        <f t="shared" si="7"/>
        <v>1</v>
      </c>
      <c r="AO21">
        <f t="shared" si="8"/>
        <v>1</v>
      </c>
      <c r="AP21">
        <f t="shared" si="9"/>
        <v>1</v>
      </c>
      <c r="AQ21">
        <f t="shared" si="4"/>
        <v>1</v>
      </c>
      <c r="AR21">
        <f t="shared" si="10"/>
        <v>1</v>
      </c>
      <c r="AS21" s="12">
        <f t="shared" si="11"/>
        <v>1</v>
      </c>
    </row>
    <row r="22" spans="1:45" ht="22.5" customHeight="1" x14ac:dyDescent="0.2">
      <c r="A22" s="7">
        <v>46061.990604085644</v>
      </c>
      <c r="B22" s="8">
        <v>0</v>
      </c>
      <c r="C22" s="9">
        <v>5</v>
      </c>
      <c r="D22" s="9">
        <v>5</v>
      </c>
      <c r="E22" s="9">
        <v>5</v>
      </c>
      <c r="F22" s="9">
        <v>5</v>
      </c>
      <c r="G22" s="9">
        <v>5</v>
      </c>
      <c r="H22" s="9">
        <v>5</v>
      </c>
      <c r="I22" s="9">
        <v>5</v>
      </c>
      <c r="J22" s="9">
        <v>5</v>
      </c>
      <c r="K22" s="9">
        <v>5</v>
      </c>
      <c r="L22" s="9">
        <v>4</v>
      </c>
      <c r="M22" s="9">
        <v>4</v>
      </c>
      <c r="N22" s="9">
        <v>4</v>
      </c>
      <c r="O22" s="9">
        <v>5</v>
      </c>
      <c r="P22" s="9">
        <v>5</v>
      </c>
      <c r="Q22" s="9">
        <v>4</v>
      </c>
      <c r="R22" s="9">
        <v>5</v>
      </c>
      <c r="S22" s="9">
        <v>5</v>
      </c>
      <c r="T22" s="9">
        <v>5</v>
      </c>
      <c r="U22" s="9">
        <v>5</v>
      </c>
      <c r="V22" s="9">
        <v>4</v>
      </c>
      <c r="W22" s="9">
        <v>4</v>
      </c>
      <c r="X22" s="9">
        <v>5</v>
      </c>
      <c r="Y22" s="9">
        <v>5</v>
      </c>
      <c r="Z22" s="9">
        <v>5</v>
      </c>
      <c r="AA22" s="9">
        <v>5</v>
      </c>
      <c r="AB22" s="9">
        <v>5</v>
      </c>
      <c r="AC22" s="9">
        <v>5</v>
      </c>
      <c r="AD22" s="9">
        <v>5</v>
      </c>
      <c r="AE22" s="9">
        <v>3</v>
      </c>
      <c r="AF22" s="9">
        <v>3</v>
      </c>
      <c r="AG22" s="9">
        <v>3</v>
      </c>
      <c r="AH22" s="6">
        <f t="shared" si="5"/>
        <v>45</v>
      </c>
      <c r="AI22" s="6">
        <f t="shared" si="0"/>
        <v>17</v>
      </c>
      <c r="AJ22" s="6">
        <f t="shared" si="1"/>
        <v>37</v>
      </c>
      <c r="AK22" s="6">
        <f t="shared" si="2"/>
        <v>35</v>
      </c>
      <c r="AL22" s="6">
        <f t="shared" si="3"/>
        <v>9</v>
      </c>
      <c r="AM22" s="6">
        <f t="shared" si="6"/>
        <v>143</v>
      </c>
      <c r="AN22" s="9">
        <f t="shared" si="7"/>
        <v>3</v>
      </c>
      <c r="AO22">
        <f t="shared" si="8"/>
        <v>3</v>
      </c>
      <c r="AP22">
        <f t="shared" si="9"/>
        <v>3</v>
      </c>
      <c r="AQ22">
        <f t="shared" si="4"/>
        <v>3</v>
      </c>
      <c r="AR22">
        <f t="shared" si="10"/>
        <v>2</v>
      </c>
      <c r="AS22" s="12">
        <f t="shared" si="11"/>
        <v>3</v>
      </c>
    </row>
    <row r="23" spans="1:45" ht="22.5" customHeight="1" x14ac:dyDescent="0.2">
      <c r="A23" s="7">
        <v>46061.991901655092</v>
      </c>
      <c r="B23" s="8">
        <v>0</v>
      </c>
      <c r="C23" s="9">
        <v>4</v>
      </c>
      <c r="D23" s="9">
        <v>4</v>
      </c>
      <c r="E23" s="9">
        <v>4</v>
      </c>
      <c r="F23" s="9">
        <v>3</v>
      </c>
      <c r="G23" s="9">
        <v>5</v>
      </c>
      <c r="H23" s="9">
        <v>4</v>
      </c>
      <c r="I23" s="9">
        <v>4</v>
      </c>
      <c r="J23" s="9">
        <v>4</v>
      </c>
      <c r="K23" s="9">
        <v>2</v>
      </c>
      <c r="L23" s="9">
        <v>3</v>
      </c>
      <c r="M23" s="9">
        <v>3</v>
      </c>
      <c r="N23" s="9">
        <v>3</v>
      </c>
      <c r="O23" s="9">
        <v>3</v>
      </c>
      <c r="P23" s="9">
        <v>4</v>
      </c>
      <c r="Q23" s="9">
        <v>4</v>
      </c>
      <c r="R23" s="9">
        <v>5</v>
      </c>
      <c r="S23" s="9">
        <v>4</v>
      </c>
      <c r="T23" s="9">
        <v>4</v>
      </c>
      <c r="U23" s="9">
        <v>4</v>
      </c>
      <c r="V23" s="9">
        <v>4</v>
      </c>
      <c r="W23" s="9">
        <v>4</v>
      </c>
      <c r="X23" s="9">
        <v>3</v>
      </c>
      <c r="Y23" s="9">
        <v>3</v>
      </c>
      <c r="Z23" s="9">
        <v>4</v>
      </c>
      <c r="AA23" s="9">
        <v>4</v>
      </c>
      <c r="AB23" s="9">
        <v>3</v>
      </c>
      <c r="AC23" s="9">
        <v>4</v>
      </c>
      <c r="AD23" s="9">
        <v>3</v>
      </c>
      <c r="AE23" s="9">
        <v>4</v>
      </c>
      <c r="AF23" s="9">
        <v>3</v>
      </c>
      <c r="AG23" s="9">
        <v>4</v>
      </c>
      <c r="AH23" s="6">
        <f t="shared" si="5"/>
        <v>34</v>
      </c>
      <c r="AI23" s="6">
        <f t="shared" si="0"/>
        <v>12</v>
      </c>
      <c r="AJ23" s="6">
        <f t="shared" si="1"/>
        <v>33</v>
      </c>
      <c r="AK23" s="6">
        <f t="shared" si="2"/>
        <v>24</v>
      </c>
      <c r="AL23" s="6">
        <f t="shared" si="3"/>
        <v>11</v>
      </c>
      <c r="AM23" s="6">
        <f t="shared" si="6"/>
        <v>114</v>
      </c>
      <c r="AN23" s="9">
        <f t="shared" si="7"/>
        <v>2</v>
      </c>
      <c r="AO23">
        <f t="shared" si="8"/>
        <v>2</v>
      </c>
      <c r="AP23">
        <f t="shared" si="9"/>
        <v>3</v>
      </c>
      <c r="AQ23">
        <f t="shared" si="4"/>
        <v>2</v>
      </c>
      <c r="AR23">
        <f t="shared" si="10"/>
        <v>3</v>
      </c>
      <c r="AS23" s="12">
        <f t="shared" si="11"/>
        <v>2</v>
      </c>
    </row>
    <row r="24" spans="1:45" ht="22.5" customHeight="1" x14ac:dyDescent="0.2">
      <c r="A24" s="7">
        <v>46061.99799340278</v>
      </c>
      <c r="B24" s="8">
        <v>0</v>
      </c>
      <c r="C24" s="9">
        <v>3</v>
      </c>
      <c r="D24" s="9">
        <v>3</v>
      </c>
      <c r="E24" s="9">
        <v>3</v>
      </c>
      <c r="F24" s="9">
        <v>2</v>
      </c>
      <c r="G24" s="9">
        <v>3</v>
      </c>
      <c r="H24" s="9">
        <v>3</v>
      </c>
      <c r="I24" s="9">
        <v>3</v>
      </c>
      <c r="J24" s="9">
        <v>3</v>
      </c>
      <c r="K24" s="9">
        <v>4</v>
      </c>
      <c r="L24" s="9">
        <v>3</v>
      </c>
      <c r="M24" s="9">
        <v>3</v>
      </c>
      <c r="N24" s="9">
        <v>3</v>
      </c>
      <c r="O24" s="9">
        <v>2</v>
      </c>
      <c r="P24" s="9">
        <v>4</v>
      </c>
      <c r="Q24" s="9">
        <v>3</v>
      </c>
      <c r="R24" s="9">
        <v>3</v>
      </c>
      <c r="S24" s="9">
        <v>3</v>
      </c>
      <c r="T24" s="9">
        <v>3</v>
      </c>
      <c r="U24" s="9">
        <v>4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6">
        <f t="shared" si="5"/>
        <v>27</v>
      </c>
      <c r="AI24" s="6">
        <f t="shared" si="0"/>
        <v>11</v>
      </c>
      <c r="AJ24" s="6">
        <f t="shared" si="1"/>
        <v>26</v>
      </c>
      <c r="AK24" s="6">
        <f t="shared" si="2"/>
        <v>21</v>
      </c>
      <c r="AL24" s="6">
        <f t="shared" si="3"/>
        <v>9</v>
      </c>
      <c r="AM24" s="6">
        <f t="shared" si="6"/>
        <v>94</v>
      </c>
      <c r="AN24" s="9">
        <f t="shared" si="7"/>
        <v>2</v>
      </c>
      <c r="AO24">
        <f t="shared" si="8"/>
        <v>2</v>
      </c>
      <c r="AP24">
        <f t="shared" si="9"/>
        <v>2</v>
      </c>
      <c r="AQ24">
        <f t="shared" si="4"/>
        <v>1</v>
      </c>
      <c r="AR24">
        <f t="shared" si="10"/>
        <v>2</v>
      </c>
      <c r="AS24" s="12">
        <f t="shared" si="11"/>
        <v>2</v>
      </c>
    </row>
    <row r="25" spans="1:45" ht="22.5" customHeight="1" x14ac:dyDescent="0.2">
      <c r="A25" s="7">
        <v>46062.004498599534</v>
      </c>
      <c r="B25" s="8">
        <v>0</v>
      </c>
      <c r="C25" s="9">
        <v>2</v>
      </c>
      <c r="D25" s="9">
        <v>1</v>
      </c>
      <c r="E25" s="9">
        <v>1</v>
      </c>
      <c r="F25" s="9">
        <v>3</v>
      </c>
      <c r="G25" s="9">
        <v>1</v>
      </c>
      <c r="H25" s="9">
        <v>1</v>
      </c>
      <c r="I25" s="9">
        <v>1</v>
      </c>
      <c r="J25" s="9">
        <v>2</v>
      </c>
      <c r="K25" s="9">
        <v>1</v>
      </c>
      <c r="L25" s="9">
        <v>1</v>
      </c>
      <c r="M25" s="9">
        <v>1</v>
      </c>
      <c r="N25" s="9">
        <v>1</v>
      </c>
      <c r="O25" s="9">
        <v>3</v>
      </c>
      <c r="P25" s="9">
        <v>1</v>
      </c>
      <c r="Q25" s="9">
        <v>1</v>
      </c>
      <c r="R25" s="9">
        <v>4</v>
      </c>
      <c r="S25" s="9">
        <v>1</v>
      </c>
      <c r="T25" s="9">
        <v>1</v>
      </c>
      <c r="U25" s="9">
        <v>1</v>
      </c>
      <c r="V25" s="9">
        <v>4</v>
      </c>
      <c r="W25" s="9">
        <v>1</v>
      </c>
      <c r="X25" s="9">
        <v>3</v>
      </c>
      <c r="Y25" s="9">
        <v>3</v>
      </c>
      <c r="Z25" s="9">
        <v>4</v>
      </c>
      <c r="AA25" s="9">
        <v>3</v>
      </c>
      <c r="AB25" s="9">
        <v>5</v>
      </c>
      <c r="AC25" s="9">
        <v>5</v>
      </c>
      <c r="AD25" s="9">
        <v>5</v>
      </c>
      <c r="AE25" s="9">
        <v>1</v>
      </c>
      <c r="AF25" s="9">
        <v>3</v>
      </c>
      <c r="AG25" s="9">
        <v>1</v>
      </c>
      <c r="AH25" s="6">
        <f t="shared" si="5"/>
        <v>13</v>
      </c>
      <c r="AI25" s="6">
        <f t="shared" si="0"/>
        <v>6</v>
      </c>
      <c r="AJ25" s="6">
        <f t="shared" si="1"/>
        <v>14</v>
      </c>
      <c r="AK25" s="6">
        <f t="shared" si="2"/>
        <v>28</v>
      </c>
      <c r="AL25" s="6">
        <f t="shared" si="3"/>
        <v>5</v>
      </c>
      <c r="AM25" s="6">
        <f t="shared" si="6"/>
        <v>66</v>
      </c>
      <c r="AN25" s="9">
        <f t="shared" si="7"/>
        <v>1</v>
      </c>
      <c r="AO25">
        <f t="shared" si="8"/>
        <v>1</v>
      </c>
      <c r="AP25">
        <f t="shared" si="9"/>
        <v>1</v>
      </c>
      <c r="AQ25">
        <f t="shared" si="4"/>
        <v>2</v>
      </c>
      <c r="AR25">
        <f t="shared" si="10"/>
        <v>1</v>
      </c>
      <c r="AS25" s="12">
        <f t="shared" si="11"/>
        <v>1</v>
      </c>
    </row>
    <row r="26" spans="1:45" ht="22.5" customHeight="1" x14ac:dyDescent="0.2">
      <c r="A26" s="7">
        <v>46062.063402476851</v>
      </c>
      <c r="B26" s="8">
        <v>0</v>
      </c>
      <c r="C26" s="9">
        <v>3</v>
      </c>
      <c r="D26" s="9">
        <v>2</v>
      </c>
      <c r="E26" s="9">
        <v>1</v>
      </c>
      <c r="F26" s="9">
        <v>3</v>
      </c>
      <c r="G26" s="9">
        <v>2</v>
      </c>
      <c r="H26" s="9">
        <v>2</v>
      </c>
      <c r="I26" s="9">
        <v>2</v>
      </c>
      <c r="J26" s="9">
        <v>3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3</v>
      </c>
      <c r="W26" s="9">
        <v>2</v>
      </c>
      <c r="X26" s="9">
        <v>2</v>
      </c>
      <c r="Y26" s="9">
        <v>3</v>
      </c>
      <c r="Z26" s="9">
        <v>2</v>
      </c>
      <c r="AA26" s="9">
        <v>3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6">
        <f t="shared" si="5"/>
        <v>20</v>
      </c>
      <c r="AI26" s="6">
        <f t="shared" si="0"/>
        <v>8</v>
      </c>
      <c r="AJ26" s="6">
        <f t="shared" si="1"/>
        <v>17</v>
      </c>
      <c r="AK26" s="6">
        <f t="shared" si="2"/>
        <v>16</v>
      </c>
      <c r="AL26" s="6">
        <f t="shared" si="3"/>
        <v>6</v>
      </c>
      <c r="AM26" s="6">
        <f t="shared" si="6"/>
        <v>67</v>
      </c>
      <c r="AN26" s="9">
        <f t="shared" si="7"/>
        <v>1</v>
      </c>
      <c r="AO26">
        <f t="shared" si="8"/>
        <v>1</v>
      </c>
      <c r="AP26">
        <f t="shared" si="9"/>
        <v>1</v>
      </c>
      <c r="AQ26">
        <f t="shared" si="4"/>
        <v>1</v>
      </c>
      <c r="AR26">
        <f t="shared" si="10"/>
        <v>1</v>
      </c>
      <c r="AS26" s="12">
        <f t="shared" si="11"/>
        <v>1</v>
      </c>
    </row>
    <row r="27" spans="1:45" ht="22.5" customHeight="1" x14ac:dyDescent="0.2">
      <c r="A27" s="7">
        <v>46062.156551701388</v>
      </c>
      <c r="B27" s="8">
        <v>0</v>
      </c>
      <c r="C27" s="9">
        <v>3</v>
      </c>
      <c r="D27" s="9">
        <v>2</v>
      </c>
      <c r="E27" s="9">
        <v>1</v>
      </c>
      <c r="F27" s="9">
        <v>3</v>
      </c>
      <c r="G27" s="9">
        <v>2</v>
      </c>
      <c r="H27" s="9">
        <v>2</v>
      </c>
      <c r="I27" s="9">
        <v>3</v>
      </c>
      <c r="J27" s="9">
        <v>4</v>
      </c>
      <c r="K27" s="9">
        <v>2</v>
      </c>
      <c r="L27" s="9">
        <v>3</v>
      </c>
      <c r="M27" s="9">
        <v>2</v>
      </c>
      <c r="N27" s="9">
        <v>5</v>
      </c>
      <c r="O27" s="9">
        <v>4</v>
      </c>
      <c r="P27" s="9">
        <v>3</v>
      </c>
      <c r="Q27" s="9">
        <v>1</v>
      </c>
      <c r="R27" s="9">
        <v>4</v>
      </c>
      <c r="S27" s="9">
        <v>2</v>
      </c>
      <c r="T27" s="9">
        <v>1</v>
      </c>
      <c r="U27" s="9">
        <v>4</v>
      </c>
      <c r="V27" s="9">
        <v>3</v>
      </c>
      <c r="W27" s="9">
        <v>2</v>
      </c>
      <c r="X27" s="9">
        <v>4</v>
      </c>
      <c r="Y27" s="9">
        <v>4</v>
      </c>
      <c r="Z27" s="9">
        <v>3</v>
      </c>
      <c r="AA27" s="9">
        <v>2</v>
      </c>
      <c r="AB27" s="9">
        <v>5</v>
      </c>
      <c r="AC27" s="9">
        <v>4</v>
      </c>
      <c r="AD27" s="9">
        <v>5</v>
      </c>
      <c r="AE27" s="9">
        <v>2</v>
      </c>
      <c r="AF27" s="9">
        <v>2</v>
      </c>
      <c r="AG27" s="9">
        <v>3</v>
      </c>
      <c r="AH27" s="6">
        <f t="shared" si="5"/>
        <v>22</v>
      </c>
      <c r="AI27" s="6">
        <f t="shared" si="0"/>
        <v>14</v>
      </c>
      <c r="AJ27" s="6">
        <f t="shared" si="1"/>
        <v>20</v>
      </c>
      <c r="AK27" s="6">
        <f t="shared" si="2"/>
        <v>27</v>
      </c>
      <c r="AL27" s="6">
        <f t="shared" si="3"/>
        <v>7</v>
      </c>
      <c r="AM27" s="6">
        <f t="shared" si="6"/>
        <v>90</v>
      </c>
      <c r="AN27" s="9">
        <f t="shared" si="7"/>
        <v>1</v>
      </c>
      <c r="AO27">
        <f t="shared" si="8"/>
        <v>2</v>
      </c>
      <c r="AP27">
        <f t="shared" si="9"/>
        <v>1</v>
      </c>
      <c r="AQ27">
        <f t="shared" si="4"/>
        <v>2</v>
      </c>
      <c r="AR27">
        <f t="shared" si="10"/>
        <v>1</v>
      </c>
      <c r="AS27" s="12">
        <f t="shared" si="11"/>
        <v>2</v>
      </c>
    </row>
    <row r="28" spans="1:45" ht="22.5" customHeight="1" x14ac:dyDescent="0.2">
      <c r="A28" s="7">
        <v>46062.404371412034</v>
      </c>
      <c r="B28" s="8">
        <v>0</v>
      </c>
      <c r="C28" s="9">
        <v>1</v>
      </c>
      <c r="D28" s="9">
        <v>4</v>
      </c>
      <c r="E28" s="9">
        <v>3</v>
      </c>
      <c r="F28" s="9">
        <v>4</v>
      </c>
      <c r="G28" s="9">
        <v>2</v>
      </c>
      <c r="H28" s="9">
        <v>4</v>
      </c>
      <c r="I28" s="9">
        <v>4</v>
      </c>
      <c r="J28" s="9">
        <v>2</v>
      </c>
      <c r="K28" s="9">
        <v>3</v>
      </c>
      <c r="L28" s="9">
        <v>3</v>
      </c>
      <c r="M28" s="9">
        <v>2</v>
      </c>
      <c r="N28" s="9">
        <v>4</v>
      </c>
      <c r="O28" s="9">
        <v>4</v>
      </c>
      <c r="P28" s="9">
        <v>3</v>
      </c>
      <c r="Q28" s="9">
        <v>4</v>
      </c>
      <c r="R28" s="9">
        <v>4</v>
      </c>
      <c r="S28" s="9">
        <v>5</v>
      </c>
      <c r="T28" s="9">
        <v>4</v>
      </c>
      <c r="U28" s="9">
        <v>3</v>
      </c>
      <c r="V28" s="9">
        <v>4</v>
      </c>
      <c r="W28" s="9">
        <v>4</v>
      </c>
      <c r="X28" s="9">
        <v>4</v>
      </c>
      <c r="Y28" s="9">
        <v>5</v>
      </c>
      <c r="Z28" s="9">
        <v>5</v>
      </c>
      <c r="AA28" s="9">
        <v>3</v>
      </c>
      <c r="AB28" s="9">
        <v>3</v>
      </c>
      <c r="AC28" s="9">
        <v>3</v>
      </c>
      <c r="AD28" s="9">
        <v>4</v>
      </c>
      <c r="AE28" s="9">
        <v>3</v>
      </c>
      <c r="AF28" s="9">
        <v>2</v>
      </c>
      <c r="AG28" s="9">
        <v>2</v>
      </c>
      <c r="AH28" s="6">
        <f t="shared" si="5"/>
        <v>27</v>
      </c>
      <c r="AI28" s="6">
        <f t="shared" si="0"/>
        <v>13</v>
      </c>
      <c r="AJ28" s="6">
        <f t="shared" si="1"/>
        <v>31</v>
      </c>
      <c r="AK28" s="6">
        <f t="shared" si="2"/>
        <v>27</v>
      </c>
      <c r="AL28" s="6">
        <f t="shared" si="3"/>
        <v>7</v>
      </c>
      <c r="AM28" s="6">
        <f t="shared" si="6"/>
        <v>105</v>
      </c>
      <c r="AN28" s="9">
        <f t="shared" si="7"/>
        <v>2</v>
      </c>
      <c r="AO28">
        <f t="shared" si="8"/>
        <v>2</v>
      </c>
      <c r="AP28">
        <f t="shared" si="9"/>
        <v>2</v>
      </c>
      <c r="AQ28">
        <f t="shared" si="4"/>
        <v>2</v>
      </c>
      <c r="AR28">
        <f t="shared" si="10"/>
        <v>1</v>
      </c>
      <c r="AS28" s="12">
        <f t="shared" si="11"/>
        <v>2</v>
      </c>
    </row>
    <row r="29" spans="1:45" ht="22.5" customHeight="1" x14ac:dyDescent="0.2">
      <c r="A29" s="7">
        <v>46062.457428055553</v>
      </c>
      <c r="B29" s="8">
        <v>0</v>
      </c>
      <c r="C29" s="9">
        <v>1</v>
      </c>
      <c r="D29" s="9">
        <v>1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9">
        <v>1</v>
      </c>
      <c r="Q29" s="9">
        <v>1</v>
      </c>
      <c r="R29" s="9">
        <v>1</v>
      </c>
      <c r="S29" s="9">
        <v>2</v>
      </c>
      <c r="T29" s="9">
        <v>2</v>
      </c>
      <c r="U29" s="9">
        <v>1</v>
      </c>
      <c r="V29" s="9">
        <v>1</v>
      </c>
      <c r="W29" s="9">
        <v>1</v>
      </c>
      <c r="X29" s="9">
        <v>1</v>
      </c>
      <c r="Y29" s="9">
        <v>1</v>
      </c>
      <c r="Z29" s="9">
        <v>1</v>
      </c>
      <c r="AA29" s="9">
        <v>1</v>
      </c>
      <c r="AB29" s="9">
        <v>1</v>
      </c>
      <c r="AC29" s="9">
        <v>1</v>
      </c>
      <c r="AD29" s="9">
        <v>1</v>
      </c>
      <c r="AE29" s="9">
        <v>1</v>
      </c>
      <c r="AF29" s="9">
        <v>1</v>
      </c>
      <c r="AG29" s="9">
        <v>1</v>
      </c>
      <c r="AH29" s="6">
        <f t="shared" si="5"/>
        <v>9</v>
      </c>
      <c r="AI29" s="6">
        <f t="shared" si="0"/>
        <v>4</v>
      </c>
      <c r="AJ29" s="6">
        <f t="shared" si="1"/>
        <v>10</v>
      </c>
      <c r="AK29" s="6">
        <f t="shared" si="2"/>
        <v>7</v>
      </c>
      <c r="AL29" s="6">
        <f t="shared" si="3"/>
        <v>3</v>
      </c>
      <c r="AM29" s="6">
        <f t="shared" si="6"/>
        <v>33</v>
      </c>
      <c r="AN29" s="9">
        <f t="shared" si="7"/>
        <v>1</v>
      </c>
      <c r="AO29">
        <f t="shared" si="8"/>
        <v>1</v>
      </c>
      <c r="AP29">
        <f t="shared" si="9"/>
        <v>1</v>
      </c>
      <c r="AQ29">
        <f t="shared" si="4"/>
        <v>1</v>
      </c>
      <c r="AR29">
        <f t="shared" si="10"/>
        <v>1</v>
      </c>
      <c r="AS29" s="12">
        <f t="shared" si="11"/>
        <v>1</v>
      </c>
    </row>
    <row r="30" spans="1:45" ht="22.5" customHeight="1" x14ac:dyDescent="0.2">
      <c r="A30" s="7">
        <v>46062.589615613426</v>
      </c>
      <c r="B30" s="8">
        <v>0</v>
      </c>
      <c r="C30" s="9">
        <v>3</v>
      </c>
      <c r="D30" s="9">
        <v>2</v>
      </c>
      <c r="E30" s="9">
        <v>2</v>
      </c>
      <c r="F30" s="9">
        <v>2</v>
      </c>
      <c r="G30" s="9">
        <v>3</v>
      </c>
      <c r="H30" s="9">
        <v>2</v>
      </c>
      <c r="I30" s="9">
        <v>2</v>
      </c>
      <c r="J30" s="9">
        <v>2</v>
      </c>
      <c r="K30" s="9">
        <v>2</v>
      </c>
      <c r="L30" s="9">
        <v>2</v>
      </c>
      <c r="M30" s="9">
        <v>3</v>
      </c>
      <c r="N30" s="9">
        <v>2</v>
      </c>
      <c r="O30" s="9">
        <v>2</v>
      </c>
      <c r="P30" s="9">
        <v>3</v>
      </c>
      <c r="Q30" s="9">
        <v>2</v>
      </c>
      <c r="R30" s="9">
        <v>3</v>
      </c>
      <c r="S30" s="9">
        <v>2</v>
      </c>
      <c r="T30" s="9">
        <v>2</v>
      </c>
      <c r="U30" s="9">
        <v>2</v>
      </c>
      <c r="V30" s="9">
        <v>3</v>
      </c>
      <c r="W30" s="9">
        <v>2</v>
      </c>
      <c r="X30" s="9">
        <v>2</v>
      </c>
      <c r="Y30" s="9">
        <v>1</v>
      </c>
      <c r="Z30" s="9">
        <v>2</v>
      </c>
      <c r="AA30" s="9">
        <v>2</v>
      </c>
      <c r="AB30" s="9">
        <v>2</v>
      </c>
      <c r="AC30" s="9">
        <v>2</v>
      </c>
      <c r="AD30" s="9">
        <v>4</v>
      </c>
      <c r="AE30" s="9">
        <v>3</v>
      </c>
      <c r="AF30" s="9">
        <v>2</v>
      </c>
      <c r="AG30" s="9">
        <v>2</v>
      </c>
      <c r="AH30" s="6">
        <f t="shared" si="5"/>
        <v>20</v>
      </c>
      <c r="AI30" s="6">
        <f t="shared" si="0"/>
        <v>9</v>
      </c>
      <c r="AJ30" s="6">
        <f t="shared" si="1"/>
        <v>19</v>
      </c>
      <c r="AK30" s="6">
        <f t="shared" si="2"/>
        <v>15</v>
      </c>
      <c r="AL30" s="6">
        <f t="shared" si="3"/>
        <v>7</v>
      </c>
      <c r="AM30" s="6">
        <f t="shared" si="6"/>
        <v>70</v>
      </c>
      <c r="AN30" s="9">
        <f t="shared" si="7"/>
        <v>1</v>
      </c>
      <c r="AO30">
        <f t="shared" si="8"/>
        <v>2</v>
      </c>
      <c r="AP30">
        <f t="shared" si="9"/>
        <v>1</v>
      </c>
      <c r="AQ30">
        <f t="shared" si="4"/>
        <v>1</v>
      </c>
      <c r="AR30">
        <f t="shared" si="10"/>
        <v>1</v>
      </c>
      <c r="AS30" s="12">
        <f t="shared" si="11"/>
        <v>1</v>
      </c>
    </row>
    <row r="31" spans="1:45" ht="22.5" customHeight="1" x14ac:dyDescent="0.2">
      <c r="A31" s="7">
        <v>46062.639161932872</v>
      </c>
      <c r="B31" s="8">
        <v>0</v>
      </c>
      <c r="C31" s="9">
        <v>3</v>
      </c>
      <c r="D31" s="9">
        <v>2</v>
      </c>
      <c r="E31" s="9">
        <v>3</v>
      </c>
      <c r="F31" s="9">
        <v>5</v>
      </c>
      <c r="G31" s="9">
        <v>4</v>
      </c>
      <c r="H31" s="9">
        <v>3</v>
      </c>
      <c r="I31" s="9">
        <v>2</v>
      </c>
      <c r="J31" s="9">
        <v>1</v>
      </c>
      <c r="K31" s="9">
        <v>1</v>
      </c>
      <c r="L31" s="9">
        <v>3</v>
      </c>
      <c r="M31" s="9">
        <v>3</v>
      </c>
      <c r="N31" s="9">
        <v>1</v>
      </c>
      <c r="O31" s="9">
        <v>2</v>
      </c>
      <c r="P31" s="9">
        <v>1</v>
      </c>
      <c r="Q31" s="9">
        <v>3</v>
      </c>
      <c r="R31" s="9">
        <v>4</v>
      </c>
      <c r="S31" s="9">
        <v>3</v>
      </c>
      <c r="T31" s="9">
        <v>3</v>
      </c>
      <c r="U31" s="9">
        <v>4</v>
      </c>
      <c r="V31" s="9">
        <v>3</v>
      </c>
      <c r="W31" s="9">
        <v>3</v>
      </c>
      <c r="X31" s="9">
        <v>4</v>
      </c>
      <c r="Y31" s="9">
        <v>5</v>
      </c>
      <c r="Z31" s="9">
        <v>3</v>
      </c>
      <c r="AA31" s="9">
        <v>4</v>
      </c>
      <c r="AB31" s="9">
        <v>3</v>
      </c>
      <c r="AC31" s="9">
        <v>3</v>
      </c>
      <c r="AD31" s="9">
        <v>3</v>
      </c>
      <c r="AE31" s="9">
        <v>3</v>
      </c>
      <c r="AF31" s="9">
        <v>1</v>
      </c>
      <c r="AG31" s="9">
        <v>1</v>
      </c>
      <c r="AH31" s="6">
        <f t="shared" si="5"/>
        <v>24</v>
      </c>
      <c r="AI31" s="6">
        <f t="shared" si="0"/>
        <v>9</v>
      </c>
      <c r="AJ31" s="6">
        <f t="shared" si="1"/>
        <v>24</v>
      </c>
      <c r="AK31" s="6">
        <f t="shared" si="2"/>
        <v>25</v>
      </c>
      <c r="AL31" s="6">
        <f t="shared" si="3"/>
        <v>5</v>
      </c>
      <c r="AM31" s="6">
        <f t="shared" si="6"/>
        <v>87</v>
      </c>
      <c r="AN31" s="9">
        <f t="shared" si="7"/>
        <v>1</v>
      </c>
      <c r="AO31">
        <f t="shared" si="8"/>
        <v>2</v>
      </c>
      <c r="AP31">
        <f t="shared" si="9"/>
        <v>1</v>
      </c>
      <c r="AQ31">
        <f t="shared" si="4"/>
        <v>2</v>
      </c>
      <c r="AR31">
        <f t="shared" si="10"/>
        <v>1</v>
      </c>
      <c r="AS31" s="12">
        <f t="shared" si="11"/>
        <v>1</v>
      </c>
    </row>
    <row r="32" spans="1:45" ht="22.5" customHeight="1" x14ac:dyDescent="0.2">
      <c r="A32" s="7">
        <v>46062.647553263887</v>
      </c>
      <c r="B32" s="8">
        <v>0</v>
      </c>
      <c r="C32" s="9">
        <v>3</v>
      </c>
      <c r="D32" s="9">
        <v>3</v>
      </c>
      <c r="E32" s="9">
        <v>3</v>
      </c>
      <c r="F32" s="9">
        <v>3</v>
      </c>
      <c r="G32" s="9">
        <v>3</v>
      </c>
      <c r="H32" s="9">
        <v>3</v>
      </c>
      <c r="I32" s="9">
        <v>3</v>
      </c>
      <c r="J32" s="9">
        <v>3</v>
      </c>
      <c r="K32" s="9">
        <v>3</v>
      </c>
      <c r="L32" s="9">
        <v>3</v>
      </c>
      <c r="M32" s="9">
        <v>3</v>
      </c>
      <c r="N32" s="9">
        <v>3</v>
      </c>
      <c r="O32" s="9">
        <v>3</v>
      </c>
      <c r="P32" s="9">
        <v>3</v>
      </c>
      <c r="Q32" s="9">
        <v>3</v>
      </c>
      <c r="R32" s="9">
        <v>3</v>
      </c>
      <c r="S32" s="9">
        <v>3</v>
      </c>
      <c r="T32" s="9">
        <v>3</v>
      </c>
      <c r="U32" s="9">
        <v>3</v>
      </c>
      <c r="V32" s="9">
        <v>3</v>
      </c>
      <c r="W32" s="9">
        <v>3</v>
      </c>
      <c r="X32" s="9">
        <v>3</v>
      </c>
      <c r="Y32" s="9">
        <v>3</v>
      </c>
      <c r="Z32" s="9">
        <v>3</v>
      </c>
      <c r="AA32" s="9">
        <v>3</v>
      </c>
      <c r="AB32" s="9">
        <v>3</v>
      </c>
      <c r="AC32" s="9">
        <v>3</v>
      </c>
      <c r="AD32" s="9">
        <v>3</v>
      </c>
      <c r="AE32" s="9">
        <v>3</v>
      </c>
      <c r="AF32" s="9">
        <v>3</v>
      </c>
      <c r="AG32" s="9">
        <v>3</v>
      </c>
      <c r="AH32" s="6">
        <f t="shared" si="5"/>
        <v>27</v>
      </c>
      <c r="AI32" s="6">
        <f t="shared" si="0"/>
        <v>12</v>
      </c>
      <c r="AJ32" s="6">
        <f t="shared" si="1"/>
        <v>24</v>
      </c>
      <c r="AK32" s="6">
        <f t="shared" si="2"/>
        <v>21</v>
      </c>
      <c r="AL32" s="6">
        <f t="shared" si="3"/>
        <v>9</v>
      </c>
      <c r="AM32" s="6">
        <f t="shared" si="6"/>
        <v>93</v>
      </c>
      <c r="AN32" s="9">
        <f t="shared" si="7"/>
        <v>2</v>
      </c>
      <c r="AO32">
        <f t="shared" si="8"/>
        <v>2</v>
      </c>
      <c r="AP32">
        <f t="shared" si="9"/>
        <v>1</v>
      </c>
      <c r="AQ32">
        <f t="shared" si="4"/>
        <v>1</v>
      </c>
      <c r="AR32">
        <f t="shared" si="10"/>
        <v>2</v>
      </c>
      <c r="AS32" s="12">
        <f t="shared" si="11"/>
        <v>2</v>
      </c>
    </row>
    <row r="33" spans="1:45" ht="22.5" customHeight="1" x14ac:dyDescent="0.2">
      <c r="A33" s="7">
        <v>46062.65321892361</v>
      </c>
      <c r="B33" s="8">
        <v>0</v>
      </c>
      <c r="C33" s="9">
        <v>2</v>
      </c>
      <c r="D33" s="9">
        <v>3</v>
      </c>
      <c r="E33" s="9">
        <v>1</v>
      </c>
      <c r="F33" s="9">
        <v>2</v>
      </c>
      <c r="G33" s="9">
        <v>3</v>
      </c>
      <c r="H33" s="9">
        <v>5</v>
      </c>
      <c r="I33" s="9">
        <v>1</v>
      </c>
      <c r="J33" s="9">
        <v>5</v>
      </c>
      <c r="K33" s="9">
        <v>2</v>
      </c>
      <c r="L33" s="9">
        <v>3</v>
      </c>
      <c r="M33" s="9">
        <v>1</v>
      </c>
      <c r="N33" s="9">
        <v>2</v>
      </c>
      <c r="O33" s="9">
        <v>5</v>
      </c>
      <c r="P33" s="9">
        <v>3</v>
      </c>
      <c r="Q33" s="9">
        <v>2</v>
      </c>
      <c r="R33" s="9">
        <v>5</v>
      </c>
      <c r="S33" s="9">
        <v>3</v>
      </c>
      <c r="T33" s="9">
        <v>3</v>
      </c>
      <c r="U33" s="9">
        <v>3</v>
      </c>
      <c r="V33" s="9">
        <v>4</v>
      </c>
      <c r="W33" s="9">
        <v>4</v>
      </c>
      <c r="X33" s="9">
        <v>5</v>
      </c>
      <c r="Y33" s="9">
        <v>5</v>
      </c>
      <c r="Z33" s="9">
        <v>5</v>
      </c>
      <c r="AA33" s="9">
        <v>3</v>
      </c>
      <c r="AB33" s="9">
        <v>5</v>
      </c>
      <c r="AC33" s="9">
        <v>4</v>
      </c>
      <c r="AD33" s="9">
        <v>4</v>
      </c>
      <c r="AE33" s="9">
        <v>2</v>
      </c>
      <c r="AF33" s="9">
        <v>3</v>
      </c>
      <c r="AG33" s="9">
        <v>1</v>
      </c>
      <c r="AH33" s="6">
        <f t="shared" si="5"/>
        <v>24</v>
      </c>
      <c r="AI33" s="6">
        <f t="shared" si="0"/>
        <v>11</v>
      </c>
      <c r="AJ33" s="6">
        <f t="shared" si="1"/>
        <v>27</v>
      </c>
      <c r="AK33" s="6">
        <f t="shared" si="2"/>
        <v>31</v>
      </c>
      <c r="AL33" s="6">
        <f t="shared" si="3"/>
        <v>6</v>
      </c>
      <c r="AM33" s="6">
        <f t="shared" si="6"/>
        <v>99</v>
      </c>
      <c r="AN33" s="9">
        <f t="shared" si="7"/>
        <v>1</v>
      </c>
      <c r="AO33">
        <f t="shared" si="8"/>
        <v>2</v>
      </c>
      <c r="AP33">
        <f t="shared" si="9"/>
        <v>2</v>
      </c>
      <c r="AQ33">
        <f t="shared" si="4"/>
        <v>3</v>
      </c>
      <c r="AR33">
        <f t="shared" si="10"/>
        <v>1</v>
      </c>
      <c r="AS33" s="12">
        <f t="shared" si="11"/>
        <v>2</v>
      </c>
    </row>
    <row r="34" spans="1:45" ht="22.5" customHeight="1" x14ac:dyDescent="0.2">
      <c r="A34" s="7">
        <v>46062.654574618056</v>
      </c>
      <c r="B34" s="8">
        <v>0</v>
      </c>
      <c r="C34" s="9">
        <v>5</v>
      </c>
      <c r="D34" s="9">
        <v>5</v>
      </c>
      <c r="E34" s="9">
        <v>5</v>
      </c>
      <c r="F34" s="9">
        <v>5</v>
      </c>
      <c r="G34" s="9">
        <v>2</v>
      </c>
      <c r="H34" s="9">
        <v>3</v>
      </c>
      <c r="I34" s="9">
        <v>4</v>
      </c>
      <c r="J34" s="9">
        <v>5</v>
      </c>
      <c r="K34" s="9">
        <v>5</v>
      </c>
      <c r="L34" s="9">
        <v>3</v>
      </c>
      <c r="M34" s="9">
        <v>2</v>
      </c>
      <c r="N34" s="9">
        <v>2</v>
      </c>
      <c r="O34" s="9">
        <v>1</v>
      </c>
      <c r="P34" s="9">
        <v>5</v>
      </c>
      <c r="Q34" s="9">
        <v>5</v>
      </c>
      <c r="R34" s="9">
        <v>5</v>
      </c>
      <c r="S34" s="9">
        <v>3</v>
      </c>
      <c r="T34" s="9">
        <v>4</v>
      </c>
      <c r="U34" s="9">
        <v>5</v>
      </c>
      <c r="V34" s="9">
        <v>3</v>
      </c>
      <c r="W34" s="9">
        <v>5</v>
      </c>
      <c r="X34" s="9">
        <v>5</v>
      </c>
      <c r="Y34" s="9">
        <v>2</v>
      </c>
      <c r="Z34" s="9">
        <v>5</v>
      </c>
      <c r="AA34" s="9">
        <v>5</v>
      </c>
      <c r="AB34" s="9">
        <v>5</v>
      </c>
      <c r="AC34" s="9">
        <v>5</v>
      </c>
      <c r="AD34" s="9">
        <v>5</v>
      </c>
      <c r="AE34" s="9">
        <v>3</v>
      </c>
      <c r="AF34" s="9">
        <v>5</v>
      </c>
      <c r="AG34" s="9">
        <v>3</v>
      </c>
      <c r="AH34" s="6">
        <f t="shared" si="5"/>
        <v>39</v>
      </c>
      <c r="AI34" s="6">
        <f t="shared" si="0"/>
        <v>8</v>
      </c>
      <c r="AJ34" s="6">
        <f t="shared" si="1"/>
        <v>35</v>
      </c>
      <c r="AK34" s="6">
        <f t="shared" si="2"/>
        <v>32</v>
      </c>
      <c r="AL34" s="6">
        <f t="shared" si="3"/>
        <v>11</v>
      </c>
      <c r="AM34" s="6">
        <f t="shared" si="6"/>
        <v>125</v>
      </c>
      <c r="AN34" s="9">
        <f t="shared" ref="AN34:AN54" si="12">IF(AH34&lt;=PERCENTILE($AH$2:$AH$54,0.25),1,IF(AH34&lt;=PERCENTILE($AH$2:$AH$54,0.75),2,3))</f>
        <v>3</v>
      </c>
      <c r="AO34">
        <f t="shared" ref="AO34:AO54" si="13">IF(AI34&lt;=PERCENTILE($AI$2:$AI$54,0.25),1,IF(AI34&lt;=PERCENTILE($AI$2:$AI$54,0.75),2,3))</f>
        <v>1</v>
      </c>
      <c r="AP34">
        <f t="shared" ref="AP34:AP54" si="14">IF(AJ34&lt;=PERCENTILE($AJ$2:$AJ$54,0.25),1,IF(AJ34&lt;=PERCENTILE($AJ$2:$AJ$54,0.75),2,3))</f>
        <v>3</v>
      </c>
      <c r="AQ34">
        <f t="shared" ref="AQ34:AQ54" si="15">IF(AK34&lt;=PERCENTILE($AK$2:$AK$54,0.25),1,IF(AK34&lt;=PERCENTILE($AK$2:$AK$54,0.75),2,3))</f>
        <v>3</v>
      </c>
      <c r="AR34">
        <f t="shared" ref="AR34:AR54" si="16">IF(AL34&lt;=PERCENTILE($AL$2:$AL$54,0.25),1,IF(AL34&lt;=PERCENTILE($AL$2:$AL$54,0.75),2,3))</f>
        <v>3</v>
      </c>
      <c r="AS34" s="12">
        <f t="shared" ref="AS34:AS54" si="17">IF(AM34&lt;=PERCENTILE($AM$2:$AM$54,0.25),1,IF(AM34&lt;=PERCENTILE($AM$2:$AM$54,0.75),2,3))</f>
        <v>3</v>
      </c>
    </row>
    <row r="35" spans="1:45" ht="22.5" customHeight="1" x14ac:dyDescent="0.2">
      <c r="A35" s="7">
        <v>46062.844150613426</v>
      </c>
      <c r="B35" s="8">
        <v>0</v>
      </c>
      <c r="C35" s="9">
        <v>4</v>
      </c>
      <c r="D35" s="9">
        <v>5</v>
      </c>
      <c r="E35" s="9">
        <v>4</v>
      </c>
      <c r="F35" s="9">
        <v>4</v>
      </c>
      <c r="G35" s="9">
        <v>5</v>
      </c>
      <c r="H35" s="9">
        <v>5</v>
      </c>
      <c r="I35" s="9">
        <v>2</v>
      </c>
      <c r="J35" s="9">
        <v>2</v>
      </c>
      <c r="K35" s="9">
        <v>3</v>
      </c>
      <c r="L35" s="9">
        <v>2</v>
      </c>
      <c r="M35" s="9">
        <v>4</v>
      </c>
      <c r="N35" s="9">
        <v>3</v>
      </c>
      <c r="O35" s="9">
        <v>1</v>
      </c>
      <c r="P35" s="9">
        <v>5</v>
      </c>
      <c r="Q35" s="9">
        <v>3</v>
      </c>
      <c r="R35" s="9">
        <v>3</v>
      </c>
      <c r="S35" s="9">
        <v>5</v>
      </c>
      <c r="T35" s="9">
        <v>4</v>
      </c>
      <c r="U35" s="9">
        <v>3</v>
      </c>
      <c r="V35" s="9">
        <v>3</v>
      </c>
      <c r="W35" s="9">
        <v>2</v>
      </c>
      <c r="X35" s="9">
        <v>5</v>
      </c>
      <c r="Y35" s="9">
        <v>5</v>
      </c>
      <c r="Z35" s="9">
        <v>5</v>
      </c>
      <c r="AA35" s="9">
        <v>4</v>
      </c>
      <c r="AB35" s="9">
        <v>5</v>
      </c>
      <c r="AC35" s="9">
        <v>5</v>
      </c>
      <c r="AD35" s="9">
        <v>5</v>
      </c>
      <c r="AE35" s="9">
        <v>4</v>
      </c>
      <c r="AF35" s="9">
        <v>4</v>
      </c>
      <c r="AG35" s="9">
        <v>5</v>
      </c>
      <c r="AH35" s="6">
        <f t="shared" si="5"/>
        <v>34</v>
      </c>
      <c r="AI35" s="6">
        <f t="shared" si="0"/>
        <v>10</v>
      </c>
      <c r="AJ35" s="6">
        <f t="shared" si="1"/>
        <v>28</v>
      </c>
      <c r="AK35" s="6">
        <f t="shared" si="2"/>
        <v>34</v>
      </c>
      <c r="AL35" s="6">
        <f t="shared" si="3"/>
        <v>13</v>
      </c>
      <c r="AM35" s="6">
        <f t="shared" si="6"/>
        <v>119</v>
      </c>
      <c r="AN35" s="9">
        <f t="shared" si="12"/>
        <v>2</v>
      </c>
      <c r="AO35">
        <f t="shared" si="13"/>
        <v>2</v>
      </c>
      <c r="AP35">
        <f t="shared" si="14"/>
        <v>2</v>
      </c>
      <c r="AQ35">
        <f t="shared" si="15"/>
        <v>3</v>
      </c>
      <c r="AR35">
        <f t="shared" si="16"/>
        <v>3</v>
      </c>
      <c r="AS35" s="12">
        <f t="shared" si="17"/>
        <v>3</v>
      </c>
    </row>
    <row r="36" spans="1:45" ht="22.5" customHeight="1" x14ac:dyDescent="0.2">
      <c r="A36" s="7">
        <v>46062.870555162037</v>
      </c>
      <c r="B36" s="8">
        <v>0</v>
      </c>
      <c r="C36" s="9">
        <v>3</v>
      </c>
      <c r="D36" s="9">
        <v>2</v>
      </c>
      <c r="E36" s="9">
        <v>3</v>
      </c>
      <c r="F36" s="9">
        <v>3</v>
      </c>
      <c r="G36" s="9">
        <v>2</v>
      </c>
      <c r="H36" s="9">
        <v>3</v>
      </c>
      <c r="I36" s="9">
        <v>4</v>
      </c>
      <c r="J36" s="9">
        <v>3</v>
      </c>
      <c r="K36" s="9">
        <v>2</v>
      </c>
      <c r="L36" s="9">
        <v>2</v>
      </c>
      <c r="M36" s="9">
        <v>1</v>
      </c>
      <c r="N36" s="9">
        <v>2</v>
      </c>
      <c r="O36" s="9">
        <v>2</v>
      </c>
      <c r="P36" s="9">
        <v>3</v>
      </c>
      <c r="Q36" s="9">
        <v>3</v>
      </c>
      <c r="R36" s="9">
        <v>3</v>
      </c>
      <c r="S36" s="9">
        <v>2</v>
      </c>
      <c r="T36" s="9">
        <v>3</v>
      </c>
      <c r="U36" s="9">
        <v>3</v>
      </c>
      <c r="V36" s="9">
        <v>3</v>
      </c>
      <c r="W36" s="9">
        <v>3</v>
      </c>
      <c r="X36" s="9">
        <v>3</v>
      </c>
      <c r="Y36" s="9">
        <v>3</v>
      </c>
      <c r="Z36" s="9">
        <v>3</v>
      </c>
      <c r="AA36" s="9">
        <v>3</v>
      </c>
      <c r="AB36" s="9">
        <v>3</v>
      </c>
      <c r="AC36" s="9">
        <v>3</v>
      </c>
      <c r="AD36" s="9">
        <v>3</v>
      </c>
      <c r="AE36" s="9">
        <v>3</v>
      </c>
      <c r="AF36" s="9">
        <v>3</v>
      </c>
      <c r="AG36" s="9">
        <v>3</v>
      </c>
      <c r="AH36" s="6">
        <f t="shared" si="5"/>
        <v>25</v>
      </c>
      <c r="AI36" s="6">
        <f t="shared" si="0"/>
        <v>7</v>
      </c>
      <c r="AJ36" s="6">
        <f t="shared" si="1"/>
        <v>23</v>
      </c>
      <c r="AK36" s="6">
        <f t="shared" si="2"/>
        <v>21</v>
      </c>
      <c r="AL36" s="6">
        <f t="shared" si="3"/>
        <v>9</v>
      </c>
      <c r="AM36" s="6">
        <f t="shared" si="6"/>
        <v>85</v>
      </c>
      <c r="AN36" s="9">
        <f t="shared" si="12"/>
        <v>2</v>
      </c>
      <c r="AO36">
        <f t="shared" si="13"/>
        <v>1</v>
      </c>
      <c r="AP36">
        <f t="shared" si="14"/>
        <v>1</v>
      </c>
      <c r="AQ36">
        <f t="shared" si="15"/>
        <v>1</v>
      </c>
      <c r="AR36">
        <f t="shared" si="16"/>
        <v>2</v>
      </c>
      <c r="AS36" s="12">
        <f t="shared" si="17"/>
        <v>1</v>
      </c>
    </row>
    <row r="37" spans="1:45" ht="22.5" customHeight="1" x14ac:dyDescent="0.2">
      <c r="A37" s="7">
        <v>46062.873312835647</v>
      </c>
      <c r="B37" s="8">
        <v>0</v>
      </c>
      <c r="C37" s="9">
        <v>4</v>
      </c>
      <c r="D37" s="9">
        <v>4</v>
      </c>
      <c r="E37" s="9">
        <v>4</v>
      </c>
      <c r="F37" s="9">
        <v>4</v>
      </c>
      <c r="G37" s="9">
        <v>4</v>
      </c>
      <c r="H37" s="9">
        <v>4</v>
      </c>
      <c r="I37" s="9">
        <v>4</v>
      </c>
      <c r="J37" s="9">
        <v>4</v>
      </c>
      <c r="K37" s="9">
        <v>4</v>
      </c>
      <c r="L37" s="9">
        <v>4</v>
      </c>
      <c r="M37" s="9">
        <v>4</v>
      </c>
      <c r="N37" s="9">
        <v>4</v>
      </c>
      <c r="O37" s="9">
        <v>3</v>
      </c>
      <c r="P37" s="9">
        <v>5</v>
      </c>
      <c r="Q37" s="9">
        <v>5</v>
      </c>
      <c r="R37" s="9">
        <v>4</v>
      </c>
      <c r="S37" s="9">
        <v>4</v>
      </c>
      <c r="T37" s="9">
        <v>4</v>
      </c>
      <c r="U37" s="9">
        <v>3</v>
      </c>
      <c r="V37" s="9">
        <v>3</v>
      </c>
      <c r="W37" s="9">
        <v>4</v>
      </c>
      <c r="X37" s="9">
        <v>3</v>
      </c>
      <c r="Y37" s="9">
        <v>5</v>
      </c>
      <c r="Z37" s="9">
        <v>4</v>
      </c>
      <c r="AA37" s="9">
        <v>2</v>
      </c>
      <c r="AB37" s="9">
        <v>3</v>
      </c>
      <c r="AC37" s="9">
        <v>2</v>
      </c>
      <c r="AD37" s="9">
        <v>4</v>
      </c>
      <c r="AE37" s="9">
        <v>4</v>
      </c>
      <c r="AF37" s="9">
        <v>4</v>
      </c>
      <c r="AG37" s="9">
        <v>3</v>
      </c>
      <c r="AH37" s="6">
        <f t="shared" si="5"/>
        <v>36</v>
      </c>
      <c r="AI37" s="6">
        <f t="shared" si="0"/>
        <v>15</v>
      </c>
      <c r="AJ37" s="6">
        <f t="shared" si="1"/>
        <v>32</v>
      </c>
      <c r="AK37" s="6">
        <f t="shared" si="2"/>
        <v>23</v>
      </c>
      <c r="AL37" s="6">
        <f t="shared" si="3"/>
        <v>11</v>
      </c>
      <c r="AM37" s="6">
        <f t="shared" si="6"/>
        <v>117</v>
      </c>
      <c r="AN37" s="9">
        <f t="shared" si="12"/>
        <v>3</v>
      </c>
      <c r="AO37">
        <f t="shared" si="13"/>
        <v>3</v>
      </c>
      <c r="AP37">
        <f t="shared" si="14"/>
        <v>3</v>
      </c>
      <c r="AQ37">
        <f t="shared" si="15"/>
        <v>2</v>
      </c>
      <c r="AR37">
        <f t="shared" si="16"/>
        <v>3</v>
      </c>
      <c r="AS37" s="12">
        <f t="shared" si="17"/>
        <v>2</v>
      </c>
    </row>
    <row r="38" spans="1:45" ht="22.5" customHeight="1" x14ac:dyDescent="0.2">
      <c r="A38" s="7">
        <v>46062.876666400465</v>
      </c>
      <c r="B38" s="8">
        <v>0</v>
      </c>
      <c r="C38" s="9">
        <v>3</v>
      </c>
      <c r="D38" s="9">
        <v>3</v>
      </c>
      <c r="E38" s="9">
        <v>4</v>
      </c>
      <c r="F38" s="9">
        <v>4</v>
      </c>
      <c r="G38" s="9">
        <v>4</v>
      </c>
      <c r="H38" s="9">
        <v>1</v>
      </c>
      <c r="I38" s="9">
        <v>3</v>
      </c>
      <c r="J38" s="9">
        <v>3</v>
      </c>
      <c r="K38" s="9">
        <v>3</v>
      </c>
      <c r="L38" s="9">
        <v>3</v>
      </c>
      <c r="M38" s="9">
        <v>2</v>
      </c>
      <c r="N38" s="9">
        <v>2</v>
      </c>
      <c r="O38" s="9">
        <v>1</v>
      </c>
      <c r="P38" s="9">
        <v>4</v>
      </c>
      <c r="Q38" s="9">
        <v>2</v>
      </c>
      <c r="R38" s="9">
        <v>4</v>
      </c>
      <c r="S38" s="9">
        <v>3</v>
      </c>
      <c r="T38" s="9">
        <v>3</v>
      </c>
      <c r="U38" s="9">
        <v>3</v>
      </c>
      <c r="V38" s="9">
        <v>5</v>
      </c>
      <c r="W38" s="9">
        <v>5</v>
      </c>
      <c r="X38" s="9">
        <v>5</v>
      </c>
      <c r="Y38" s="9">
        <v>5</v>
      </c>
      <c r="Z38" s="9">
        <v>5</v>
      </c>
      <c r="AA38" s="9">
        <v>5</v>
      </c>
      <c r="AB38" s="9">
        <v>5</v>
      </c>
      <c r="AC38" s="9">
        <v>5</v>
      </c>
      <c r="AD38" s="9">
        <v>5</v>
      </c>
      <c r="AE38" s="9">
        <v>3</v>
      </c>
      <c r="AF38" s="9">
        <v>2</v>
      </c>
      <c r="AG38" s="9">
        <v>3</v>
      </c>
      <c r="AH38" s="6">
        <f t="shared" si="5"/>
        <v>28</v>
      </c>
      <c r="AI38" s="6">
        <f t="shared" si="0"/>
        <v>8</v>
      </c>
      <c r="AJ38" s="6">
        <f t="shared" si="1"/>
        <v>29</v>
      </c>
      <c r="AK38" s="6">
        <f t="shared" si="2"/>
        <v>35</v>
      </c>
      <c r="AL38" s="6">
        <f t="shared" si="3"/>
        <v>8</v>
      </c>
      <c r="AM38" s="6">
        <f t="shared" si="6"/>
        <v>108</v>
      </c>
      <c r="AN38" s="9">
        <f t="shared" si="12"/>
        <v>2</v>
      </c>
      <c r="AO38">
        <f t="shared" si="13"/>
        <v>1</v>
      </c>
      <c r="AP38">
        <f t="shared" si="14"/>
        <v>2</v>
      </c>
      <c r="AQ38">
        <f t="shared" si="15"/>
        <v>3</v>
      </c>
      <c r="AR38">
        <f t="shared" si="16"/>
        <v>2</v>
      </c>
      <c r="AS38" s="12">
        <f t="shared" si="17"/>
        <v>2</v>
      </c>
    </row>
    <row r="39" spans="1:45" ht="22.5" customHeight="1" x14ac:dyDescent="0.2">
      <c r="A39" s="7">
        <v>46062.881275925931</v>
      </c>
      <c r="B39" s="8">
        <v>0</v>
      </c>
      <c r="C39" s="9">
        <v>4</v>
      </c>
      <c r="D39" s="9">
        <v>3</v>
      </c>
      <c r="E39" s="9">
        <v>3</v>
      </c>
      <c r="F39" s="9">
        <v>4</v>
      </c>
      <c r="G39" s="9">
        <v>4</v>
      </c>
      <c r="H39" s="9">
        <v>4</v>
      </c>
      <c r="I39" s="9">
        <v>4</v>
      </c>
      <c r="J39" s="9">
        <v>4</v>
      </c>
      <c r="K39" s="9">
        <v>4</v>
      </c>
      <c r="L39" s="9">
        <v>3</v>
      </c>
      <c r="M39" s="9">
        <v>4</v>
      </c>
      <c r="N39" s="9">
        <v>3</v>
      </c>
      <c r="O39" s="9">
        <v>4</v>
      </c>
      <c r="P39" s="9">
        <v>3</v>
      </c>
      <c r="Q39" s="9">
        <v>4</v>
      </c>
      <c r="R39" s="9">
        <v>4</v>
      </c>
      <c r="S39" s="9">
        <v>4</v>
      </c>
      <c r="T39" s="9">
        <v>4</v>
      </c>
      <c r="U39" s="9">
        <v>4</v>
      </c>
      <c r="V39" s="9">
        <v>4</v>
      </c>
      <c r="W39" s="9">
        <v>4</v>
      </c>
      <c r="X39" s="9">
        <v>3</v>
      </c>
      <c r="Y39" s="9">
        <v>4</v>
      </c>
      <c r="Z39" s="9">
        <v>4</v>
      </c>
      <c r="AA39" s="9">
        <v>4</v>
      </c>
      <c r="AB39" s="9">
        <v>4</v>
      </c>
      <c r="AC39" s="9">
        <v>4</v>
      </c>
      <c r="AD39" s="9">
        <v>4</v>
      </c>
      <c r="AE39" s="9">
        <v>4</v>
      </c>
      <c r="AF39" s="9">
        <v>4</v>
      </c>
      <c r="AG39" s="9">
        <v>4</v>
      </c>
      <c r="AH39" s="6">
        <f t="shared" si="5"/>
        <v>34</v>
      </c>
      <c r="AI39" s="6">
        <f t="shared" si="0"/>
        <v>14</v>
      </c>
      <c r="AJ39" s="6">
        <f t="shared" si="1"/>
        <v>31</v>
      </c>
      <c r="AK39" s="6">
        <f t="shared" si="2"/>
        <v>27</v>
      </c>
      <c r="AL39" s="6">
        <f t="shared" si="3"/>
        <v>12</v>
      </c>
      <c r="AM39" s="6">
        <f t="shared" si="6"/>
        <v>118</v>
      </c>
      <c r="AN39" s="9">
        <f t="shared" si="12"/>
        <v>2</v>
      </c>
      <c r="AO39">
        <f t="shared" si="13"/>
        <v>2</v>
      </c>
      <c r="AP39">
        <f t="shared" si="14"/>
        <v>2</v>
      </c>
      <c r="AQ39">
        <f t="shared" si="15"/>
        <v>2</v>
      </c>
      <c r="AR39">
        <f t="shared" si="16"/>
        <v>3</v>
      </c>
      <c r="AS39" s="12">
        <f t="shared" si="17"/>
        <v>3</v>
      </c>
    </row>
    <row r="40" spans="1:45" ht="22.5" customHeight="1" x14ac:dyDescent="0.2">
      <c r="A40" s="7">
        <v>46062.886963912038</v>
      </c>
      <c r="B40" s="8">
        <v>0</v>
      </c>
      <c r="C40" s="9">
        <v>2</v>
      </c>
      <c r="D40" s="9">
        <v>2</v>
      </c>
      <c r="E40" s="9">
        <v>4</v>
      </c>
      <c r="F40" s="9">
        <v>4</v>
      </c>
      <c r="G40" s="9">
        <v>3</v>
      </c>
      <c r="H40" s="9">
        <v>2</v>
      </c>
      <c r="I40" s="9">
        <v>2</v>
      </c>
      <c r="J40" s="9">
        <v>2</v>
      </c>
      <c r="K40" s="9">
        <v>2</v>
      </c>
      <c r="L40" s="9">
        <v>2</v>
      </c>
      <c r="M40" s="9">
        <v>1</v>
      </c>
      <c r="N40" s="9">
        <v>2</v>
      </c>
      <c r="O40" s="9">
        <v>2</v>
      </c>
      <c r="P40" s="9">
        <v>3</v>
      </c>
      <c r="Q40" s="9">
        <v>2</v>
      </c>
      <c r="R40" s="9">
        <v>2</v>
      </c>
      <c r="S40" s="9">
        <v>2</v>
      </c>
      <c r="T40" s="9">
        <v>2</v>
      </c>
      <c r="U40" s="9">
        <v>3</v>
      </c>
      <c r="V40" s="9">
        <v>3</v>
      </c>
      <c r="W40" s="9">
        <v>2</v>
      </c>
      <c r="X40" s="9">
        <v>2</v>
      </c>
      <c r="Y40" s="9">
        <v>2</v>
      </c>
      <c r="Z40" s="9">
        <v>2</v>
      </c>
      <c r="AA40" s="9">
        <v>2</v>
      </c>
      <c r="AB40" s="9">
        <v>2</v>
      </c>
      <c r="AC40" s="9">
        <v>2</v>
      </c>
      <c r="AD40" s="9">
        <v>2</v>
      </c>
      <c r="AE40" s="9">
        <v>2</v>
      </c>
      <c r="AF40" s="9">
        <v>2</v>
      </c>
      <c r="AG40" s="9">
        <v>2</v>
      </c>
      <c r="AH40" s="6">
        <f t="shared" si="5"/>
        <v>23</v>
      </c>
      <c r="AI40" s="6">
        <f t="shared" si="0"/>
        <v>7</v>
      </c>
      <c r="AJ40" s="6">
        <f t="shared" si="1"/>
        <v>19</v>
      </c>
      <c r="AK40" s="6">
        <f t="shared" si="2"/>
        <v>14</v>
      </c>
      <c r="AL40" s="6">
        <f t="shared" si="3"/>
        <v>6</v>
      </c>
      <c r="AM40" s="6">
        <f t="shared" si="6"/>
        <v>69</v>
      </c>
      <c r="AN40" s="9">
        <f t="shared" si="12"/>
        <v>1</v>
      </c>
      <c r="AO40">
        <f t="shared" si="13"/>
        <v>1</v>
      </c>
      <c r="AP40">
        <f t="shared" si="14"/>
        <v>1</v>
      </c>
      <c r="AQ40">
        <f t="shared" si="15"/>
        <v>1</v>
      </c>
      <c r="AR40">
        <f t="shared" si="16"/>
        <v>1</v>
      </c>
      <c r="AS40" s="12">
        <f t="shared" si="17"/>
        <v>1</v>
      </c>
    </row>
    <row r="41" spans="1:45" ht="22.5" customHeight="1" x14ac:dyDescent="0.2">
      <c r="A41" s="7">
        <v>46062.894923263884</v>
      </c>
      <c r="B41" s="8">
        <v>0</v>
      </c>
      <c r="C41" s="9">
        <v>4</v>
      </c>
      <c r="D41" s="9">
        <v>4</v>
      </c>
      <c r="E41" s="9">
        <v>3</v>
      </c>
      <c r="F41" s="9">
        <v>4</v>
      </c>
      <c r="G41" s="9">
        <v>4</v>
      </c>
      <c r="H41" s="9">
        <v>4</v>
      </c>
      <c r="I41" s="9">
        <v>4</v>
      </c>
      <c r="J41" s="9">
        <v>4</v>
      </c>
      <c r="K41" s="9">
        <v>4</v>
      </c>
      <c r="L41" s="9">
        <v>5</v>
      </c>
      <c r="M41" s="9">
        <v>5</v>
      </c>
      <c r="N41" s="9">
        <v>5</v>
      </c>
      <c r="O41" s="9">
        <v>2</v>
      </c>
      <c r="P41" s="9">
        <v>3</v>
      </c>
      <c r="Q41" s="9">
        <v>4</v>
      </c>
      <c r="R41" s="9">
        <v>5</v>
      </c>
      <c r="S41" s="9">
        <v>4</v>
      </c>
      <c r="T41" s="9">
        <v>4</v>
      </c>
      <c r="U41" s="9">
        <v>4</v>
      </c>
      <c r="V41" s="9">
        <v>4</v>
      </c>
      <c r="W41" s="9">
        <v>3</v>
      </c>
      <c r="X41" s="9">
        <v>3</v>
      </c>
      <c r="Y41" s="9">
        <v>4</v>
      </c>
      <c r="Z41" s="9">
        <v>4</v>
      </c>
      <c r="AA41" s="9">
        <v>4</v>
      </c>
      <c r="AB41" s="9">
        <v>4</v>
      </c>
      <c r="AC41" s="9">
        <v>4</v>
      </c>
      <c r="AD41" s="9">
        <v>4</v>
      </c>
      <c r="AE41" s="9">
        <v>3</v>
      </c>
      <c r="AF41" s="9">
        <v>3</v>
      </c>
      <c r="AG41" s="9">
        <v>4</v>
      </c>
      <c r="AH41" s="6">
        <f t="shared" si="5"/>
        <v>35</v>
      </c>
      <c r="AI41" s="6">
        <f t="shared" si="0"/>
        <v>17</v>
      </c>
      <c r="AJ41" s="6">
        <f t="shared" si="1"/>
        <v>31</v>
      </c>
      <c r="AK41" s="6">
        <f t="shared" si="2"/>
        <v>27</v>
      </c>
      <c r="AL41" s="6">
        <f t="shared" si="3"/>
        <v>10</v>
      </c>
      <c r="AM41" s="6">
        <f t="shared" si="6"/>
        <v>120</v>
      </c>
      <c r="AN41" s="9">
        <f t="shared" si="12"/>
        <v>3</v>
      </c>
      <c r="AO41">
        <f t="shared" si="13"/>
        <v>3</v>
      </c>
      <c r="AP41">
        <f t="shared" si="14"/>
        <v>2</v>
      </c>
      <c r="AQ41">
        <f t="shared" si="15"/>
        <v>2</v>
      </c>
      <c r="AR41">
        <f t="shared" si="16"/>
        <v>2</v>
      </c>
      <c r="AS41" s="12">
        <f t="shared" si="17"/>
        <v>3</v>
      </c>
    </row>
    <row r="42" spans="1:45" ht="22.5" customHeight="1" x14ac:dyDescent="0.2">
      <c r="A42" s="7">
        <v>46062.899934236106</v>
      </c>
      <c r="B42" s="8">
        <v>0</v>
      </c>
      <c r="C42" s="9">
        <v>5</v>
      </c>
      <c r="D42" s="9">
        <v>5</v>
      </c>
      <c r="E42" s="9">
        <v>3</v>
      </c>
      <c r="F42" s="9">
        <v>5</v>
      </c>
      <c r="G42" s="9">
        <v>4</v>
      </c>
      <c r="H42" s="9">
        <v>4</v>
      </c>
      <c r="I42" s="9">
        <v>3</v>
      </c>
      <c r="J42" s="9">
        <v>3</v>
      </c>
      <c r="K42" s="9">
        <v>4</v>
      </c>
      <c r="L42" s="9">
        <v>4</v>
      </c>
      <c r="M42" s="9">
        <v>5</v>
      </c>
      <c r="N42" s="9">
        <v>4</v>
      </c>
      <c r="O42" s="9">
        <v>3</v>
      </c>
      <c r="P42" s="9">
        <v>4</v>
      </c>
      <c r="Q42" s="9">
        <v>5</v>
      </c>
      <c r="R42" s="9">
        <v>5</v>
      </c>
      <c r="S42" s="9">
        <v>4</v>
      </c>
      <c r="T42" s="9">
        <v>4</v>
      </c>
      <c r="U42" s="9">
        <v>4</v>
      </c>
      <c r="V42" s="9">
        <v>5</v>
      </c>
      <c r="W42" s="9">
        <v>5</v>
      </c>
      <c r="X42" s="9">
        <v>4</v>
      </c>
      <c r="Y42" s="9">
        <v>3</v>
      </c>
      <c r="Z42" s="9">
        <v>4</v>
      </c>
      <c r="AA42" s="9">
        <v>3</v>
      </c>
      <c r="AB42" s="9">
        <v>4</v>
      </c>
      <c r="AC42" s="9">
        <v>4</v>
      </c>
      <c r="AD42" s="9">
        <v>4</v>
      </c>
      <c r="AE42" s="9">
        <v>4</v>
      </c>
      <c r="AF42" s="9">
        <v>2</v>
      </c>
      <c r="AG42" s="9">
        <v>4</v>
      </c>
      <c r="AH42" s="6">
        <f t="shared" si="5"/>
        <v>36</v>
      </c>
      <c r="AI42" s="6">
        <f t="shared" si="0"/>
        <v>16</v>
      </c>
      <c r="AJ42" s="6">
        <f t="shared" si="1"/>
        <v>36</v>
      </c>
      <c r="AK42" s="6">
        <f t="shared" si="2"/>
        <v>26</v>
      </c>
      <c r="AL42" s="6">
        <f t="shared" si="3"/>
        <v>10</v>
      </c>
      <c r="AM42" s="6">
        <f t="shared" si="6"/>
        <v>124</v>
      </c>
      <c r="AN42" s="9">
        <f t="shared" si="12"/>
        <v>3</v>
      </c>
      <c r="AO42">
        <f t="shared" si="13"/>
        <v>3</v>
      </c>
      <c r="AP42">
        <f t="shared" si="14"/>
        <v>3</v>
      </c>
      <c r="AQ42">
        <f t="shared" si="15"/>
        <v>2</v>
      </c>
      <c r="AR42">
        <f t="shared" si="16"/>
        <v>2</v>
      </c>
      <c r="AS42" s="12">
        <f t="shared" si="17"/>
        <v>3</v>
      </c>
    </row>
    <row r="43" spans="1:45" ht="22.5" customHeight="1" x14ac:dyDescent="0.2">
      <c r="A43" s="7">
        <v>46062.914472951394</v>
      </c>
      <c r="B43" s="8">
        <v>0</v>
      </c>
      <c r="C43" s="9">
        <v>5</v>
      </c>
      <c r="D43" s="9">
        <v>5</v>
      </c>
      <c r="E43" s="9">
        <v>1</v>
      </c>
      <c r="F43" s="9">
        <v>5</v>
      </c>
      <c r="G43" s="9">
        <v>1</v>
      </c>
      <c r="H43" s="9">
        <v>1</v>
      </c>
      <c r="I43" s="9">
        <v>5</v>
      </c>
      <c r="J43" s="9">
        <v>2</v>
      </c>
      <c r="K43" s="9">
        <v>5</v>
      </c>
      <c r="L43" s="9">
        <v>4</v>
      </c>
      <c r="M43" s="9">
        <v>1</v>
      </c>
      <c r="N43" s="9">
        <v>4</v>
      </c>
      <c r="O43" s="9">
        <v>1</v>
      </c>
      <c r="P43" s="9">
        <v>5</v>
      </c>
      <c r="Q43" s="9">
        <v>5</v>
      </c>
      <c r="R43" s="9">
        <v>5</v>
      </c>
      <c r="S43" s="9">
        <v>5</v>
      </c>
      <c r="T43" s="9">
        <v>5</v>
      </c>
      <c r="U43" s="9">
        <v>5</v>
      </c>
      <c r="V43" s="9">
        <v>5</v>
      </c>
      <c r="W43" s="9">
        <v>5</v>
      </c>
      <c r="X43" s="9">
        <v>5</v>
      </c>
      <c r="Y43" s="9">
        <v>5</v>
      </c>
      <c r="Z43" s="9">
        <v>5</v>
      </c>
      <c r="AA43" s="9">
        <v>5</v>
      </c>
      <c r="AB43" s="9">
        <v>5</v>
      </c>
      <c r="AC43" s="9">
        <v>5</v>
      </c>
      <c r="AD43" s="9">
        <v>5</v>
      </c>
      <c r="AE43" s="9">
        <v>5</v>
      </c>
      <c r="AF43" s="9">
        <v>5</v>
      </c>
      <c r="AG43" s="9">
        <v>5</v>
      </c>
      <c r="AH43" s="6">
        <f t="shared" si="5"/>
        <v>30</v>
      </c>
      <c r="AI43" s="6">
        <f t="shared" si="0"/>
        <v>10</v>
      </c>
      <c r="AJ43" s="6">
        <f t="shared" si="1"/>
        <v>40</v>
      </c>
      <c r="AK43" s="6">
        <f t="shared" si="2"/>
        <v>35</v>
      </c>
      <c r="AL43" s="6">
        <f t="shared" si="3"/>
        <v>15</v>
      </c>
      <c r="AM43" s="6">
        <f t="shared" si="6"/>
        <v>130</v>
      </c>
      <c r="AN43" s="9">
        <f t="shared" si="12"/>
        <v>2</v>
      </c>
      <c r="AO43">
        <f t="shared" si="13"/>
        <v>2</v>
      </c>
      <c r="AP43">
        <f t="shared" si="14"/>
        <v>3</v>
      </c>
      <c r="AQ43">
        <f t="shared" si="15"/>
        <v>3</v>
      </c>
      <c r="AR43">
        <f t="shared" si="16"/>
        <v>3</v>
      </c>
      <c r="AS43" s="12">
        <f t="shared" si="17"/>
        <v>3</v>
      </c>
    </row>
    <row r="44" spans="1:45" ht="22.5" customHeight="1" x14ac:dyDescent="0.2">
      <c r="A44" s="7">
        <v>46062.949782037038</v>
      </c>
      <c r="B44" s="8">
        <v>0</v>
      </c>
      <c r="C44" s="9">
        <v>5</v>
      </c>
      <c r="D44" s="9">
        <v>4</v>
      </c>
      <c r="E44" s="9">
        <v>2</v>
      </c>
      <c r="F44" s="9">
        <v>3</v>
      </c>
      <c r="G44" s="9">
        <v>3</v>
      </c>
      <c r="H44" s="9">
        <v>4</v>
      </c>
      <c r="I44" s="9">
        <v>1</v>
      </c>
      <c r="J44" s="9">
        <v>5</v>
      </c>
      <c r="K44" s="9">
        <v>3</v>
      </c>
      <c r="L44" s="9">
        <v>5</v>
      </c>
      <c r="M44" s="9">
        <v>3</v>
      </c>
      <c r="N44" s="9">
        <v>4</v>
      </c>
      <c r="O44" s="9">
        <v>2</v>
      </c>
      <c r="P44" s="9">
        <v>3</v>
      </c>
      <c r="Q44" s="9">
        <v>4</v>
      </c>
      <c r="R44" s="9">
        <v>5</v>
      </c>
      <c r="S44" s="9">
        <v>5</v>
      </c>
      <c r="T44" s="9">
        <v>5</v>
      </c>
      <c r="U44" s="9">
        <v>5</v>
      </c>
      <c r="V44" s="9">
        <v>5</v>
      </c>
      <c r="W44" s="9">
        <v>3</v>
      </c>
      <c r="X44" s="9">
        <v>4</v>
      </c>
      <c r="Y44" s="9">
        <v>4</v>
      </c>
      <c r="Z44" s="9">
        <v>2</v>
      </c>
      <c r="AA44" s="9">
        <v>3</v>
      </c>
      <c r="AB44" s="9">
        <v>3</v>
      </c>
      <c r="AC44" s="9">
        <v>5</v>
      </c>
      <c r="AD44" s="9">
        <v>4</v>
      </c>
      <c r="AE44" s="9">
        <v>4</v>
      </c>
      <c r="AF44" s="9">
        <v>4</v>
      </c>
      <c r="AG44" s="9">
        <v>2</v>
      </c>
      <c r="AH44" s="6">
        <f t="shared" si="5"/>
        <v>30</v>
      </c>
      <c r="AI44" s="6">
        <f t="shared" si="0"/>
        <v>14</v>
      </c>
      <c r="AJ44" s="6">
        <f t="shared" si="1"/>
        <v>35</v>
      </c>
      <c r="AK44" s="6">
        <f t="shared" si="2"/>
        <v>25</v>
      </c>
      <c r="AL44" s="6">
        <f t="shared" si="3"/>
        <v>10</v>
      </c>
      <c r="AM44" s="6">
        <f t="shared" si="6"/>
        <v>114</v>
      </c>
      <c r="AN44" s="9">
        <f t="shared" si="12"/>
        <v>2</v>
      </c>
      <c r="AO44">
        <f t="shared" si="13"/>
        <v>2</v>
      </c>
      <c r="AP44">
        <f t="shared" si="14"/>
        <v>3</v>
      </c>
      <c r="AQ44">
        <f t="shared" si="15"/>
        <v>2</v>
      </c>
      <c r="AR44">
        <f t="shared" si="16"/>
        <v>2</v>
      </c>
      <c r="AS44" s="12">
        <f t="shared" si="17"/>
        <v>2</v>
      </c>
    </row>
    <row r="45" spans="1:45" ht="22.5" customHeight="1" x14ac:dyDescent="0.2">
      <c r="A45" s="7">
        <v>46062.959979224535</v>
      </c>
      <c r="B45" s="8">
        <v>0</v>
      </c>
      <c r="C45" s="9">
        <v>4</v>
      </c>
      <c r="D45" s="9">
        <v>4</v>
      </c>
      <c r="E45" s="9">
        <v>3</v>
      </c>
      <c r="F45" s="9">
        <v>4</v>
      </c>
      <c r="G45" s="9">
        <v>4</v>
      </c>
      <c r="H45" s="9">
        <v>5</v>
      </c>
      <c r="I45" s="9">
        <v>5</v>
      </c>
      <c r="J45" s="9">
        <v>4</v>
      </c>
      <c r="K45" s="9">
        <v>4</v>
      </c>
      <c r="L45" s="9">
        <v>4</v>
      </c>
      <c r="M45" s="9">
        <v>3</v>
      </c>
      <c r="N45" s="9">
        <v>3</v>
      </c>
      <c r="O45" s="9">
        <v>3</v>
      </c>
      <c r="P45" s="9">
        <v>5</v>
      </c>
      <c r="Q45" s="9">
        <v>4</v>
      </c>
      <c r="R45" s="9">
        <v>4</v>
      </c>
      <c r="S45" s="9">
        <v>3</v>
      </c>
      <c r="T45" s="9">
        <v>4</v>
      </c>
      <c r="U45" s="9">
        <v>4</v>
      </c>
      <c r="V45" s="9">
        <v>4</v>
      </c>
      <c r="W45" s="9">
        <v>3</v>
      </c>
      <c r="X45" s="9">
        <v>4</v>
      </c>
      <c r="Y45" s="9">
        <v>4</v>
      </c>
      <c r="Z45" s="9">
        <v>4</v>
      </c>
      <c r="AA45" s="9">
        <v>4</v>
      </c>
      <c r="AB45" s="9">
        <v>4</v>
      </c>
      <c r="AC45" s="9">
        <v>5</v>
      </c>
      <c r="AD45" s="9">
        <v>4</v>
      </c>
      <c r="AE45" s="9">
        <v>4</v>
      </c>
      <c r="AF45" s="9">
        <v>4</v>
      </c>
      <c r="AG45" s="9">
        <v>3</v>
      </c>
      <c r="AH45" s="6">
        <f t="shared" si="5"/>
        <v>37</v>
      </c>
      <c r="AI45" s="6">
        <f t="shared" si="0"/>
        <v>13</v>
      </c>
      <c r="AJ45" s="6">
        <f t="shared" si="1"/>
        <v>31</v>
      </c>
      <c r="AK45" s="6">
        <f t="shared" si="2"/>
        <v>29</v>
      </c>
      <c r="AL45" s="6">
        <f t="shared" si="3"/>
        <v>11</v>
      </c>
      <c r="AM45" s="6">
        <f t="shared" si="6"/>
        <v>121</v>
      </c>
      <c r="AN45" s="9">
        <f t="shared" si="12"/>
        <v>3</v>
      </c>
      <c r="AO45">
        <f t="shared" si="13"/>
        <v>2</v>
      </c>
      <c r="AP45">
        <f t="shared" si="14"/>
        <v>2</v>
      </c>
      <c r="AQ45">
        <f t="shared" si="15"/>
        <v>2</v>
      </c>
      <c r="AR45">
        <f t="shared" si="16"/>
        <v>3</v>
      </c>
      <c r="AS45" s="12">
        <f t="shared" si="17"/>
        <v>3</v>
      </c>
    </row>
    <row r="46" spans="1:45" ht="22.5" customHeight="1" x14ac:dyDescent="0.2">
      <c r="A46" s="7">
        <v>46062.96065606481</v>
      </c>
      <c r="B46" s="8">
        <v>0</v>
      </c>
      <c r="C46" s="9">
        <v>4</v>
      </c>
      <c r="D46" s="9">
        <v>4</v>
      </c>
      <c r="E46" s="9">
        <v>2</v>
      </c>
      <c r="F46" s="9">
        <v>4</v>
      </c>
      <c r="G46" s="9">
        <v>2</v>
      </c>
      <c r="H46" s="9">
        <v>3</v>
      </c>
      <c r="I46" s="9">
        <v>2</v>
      </c>
      <c r="J46" s="9">
        <v>3</v>
      </c>
      <c r="K46" s="9">
        <v>4</v>
      </c>
      <c r="L46" s="9">
        <v>3</v>
      </c>
      <c r="M46" s="9">
        <v>1</v>
      </c>
      <c r="N46" s="9">
        <v>1</v>
      </c>
      <c r="O46" s="9">
        <v>1</v>
      </c>
      <c r="P46" s="9">
        <v>4</v>
      </c>
      <c r="Q46" s="9">
        <v>3</v>
      </c>
      <c r="R46" s="9">
        <v>3</v>
      </c>
      <c r="S46" s="9">
        <v>3</v>
      </c>
      <c r="T46" s="9">
        <v>3</v>
      </c>
      <c r="U46" s="9">
        <v>4</v>
      </c>
      <c r="V46" s="9">
        <v>3</v>
      </c>
      <c r="W46" s="9">
        <v>3</v>
      </c>
      <c r="X46" s="9">
        <v>4</v>
      </c>
      <c r="Y46" s="9">
        <v>5</v>
      </c>
      <c r="Z46" s="9">
        <v>3</v>
      </c>
      <c r="AA46" s="9">
        <v>4</v>
      </c>
      <c r="AB46" s="9">
        <v>3</v>
      </c>
      <c r="AC46" s="9">
        <v>4</v>
      </c>
      <c r="AD46" s="9">
        <v>4</v>
      </c>
      <c r="AE46" s="9">
        <v>2</v>
      </c>
      <c r="AF46" s="9">
        <v>3</v>
      </c>
      <c r="AG46" s="9">
        <v>3</v>
      </c>
      <c r="AH46" s="6">
        <f t="shared" si="5"/>
        <v>28</v>
      </c>
      <c r="AI46" s="6">
        <f t="shared" si="0"/>
        <v>6</v>
      </c>
      <c r="AJ46" s="6">
        <f t="shared" si="1"/>
        <v>26</v>
      </c>
      <c r="AK46" s="6">
        <f t="shared" si="2"/>
        <v>27</v>
      </c>
      <c r="AL46" s="6">
        <f t="shared" si="3"/>
        <v>8</v>
      </c>
      <c r="AM46" s="6">
        <f t="shared" si="6"/>
        <v>95</v>
      </c>
      <c r="AN46" s="9">
        <f t="shared" si="12"/>
        <v>2</v>
      </c>
      <c r="AO46">
        <f t="shared" si="13"/>
        <v>1</v>
      </c>
      <c r="AP46">
        <f t="shared" si="14"/>
        <v>2</v>
      </c>
      <c r="AQ46">
        <f t="shared" si="15"/>
        <v>2</v>
      </c>
      <c r="AR46">
        <f t="shared" si="16"/>
        <v>2</v>
      </c>
      <c r="AS46" s="12">
        <f t="shared" si="17"/>
        <v>2</v>
      </c>
    </row>
    <row r="47" spans="1:45" ht="22.5" customHeight="1" x14ac:dyDescent="0.2">
      <c r="A47" s="7">
        <v>46062.961457152778</v>
      </c>
      <c r="B47" s="8">
        <v>0</v>
      </c>
      <c r="C47" s="9">
        <v>4</v>
      </c>
      <c r="D47" s="9">
        <v>4</v>
      </c>
      <c r="E47" s="9">
        <v>4</v>
      </c>
      <c r="F47" s="9">
        <v>4</v>
      </c>
      <c r="G47" s="9">
        <v>4</v>
      </c>
      <c r="H47" s="9">
        <v>3</v>
      </c>
      <c r="I47" s="9">
        <v>4</v>
      </c>
      <c r="J47" s="9">
        <v>3</v>
      </c>
      <c r="K47" s="9">
        <v>4</v>
      </c>
      <c r="L47" s="9">
        <v>4</v>
      </c>
      <c r="M47" s="9">
        <v>3</v>
      </c>
      <c r="N47" s="9">
        <v>4</v>
      </c>
      <c r="O47" s="9">
        <v>3</v>
      </c>
      <c r="P47" s="9">
        <v>4</v>
      </c>
      <c r="Q47" s="9">
        <v>4</v>
      </c>
      <c r="R47" s="9">
        <v>3</v>
      </c>
      <c r="S47" s="9">
        <v>4</v>
      </c>
      <c r="T47" s="9">
        <v>4</v>
      </c>
      <c r="U47" s="9">
        <v>4</v>
      </c>
      <c r="V47" s="9">
        <v>4</v>
      </c>
      <c r="W47" s="9">
        <v>4</v>
      </c>
      <c r="X47" s="9">
        <v>4</v>
      </c>
      <c r="Y47" s="9">
        <v>4</v>
      </c>
      <c r="Z47" s="9">
        <v>4</v>
      </c>
      <c r="AA47" s="9">
        <v>5</v>
      </c>
      <c r="AB47" s="9">
        <v>5</v>
      </c>
      <c r="AC47" s="9">
        <v>4</v>
      </c>
      <c r="AD47" s="9">
        <v>4</v>
      </c>
      <c r="AE47" s="9">
        <v>4</v>
      </c>
      <c r="AF47" s="9">
        <v>4</v>
      </c>
      <c r="AG47" s="9">
        <v>3</v>
      </c>
      <c r="AH47" s="6">
        <f t="shared" si="5"/>
        <v>34</v>
      </c>
      <c r="AI47" s="6">
        <f t="shared" si="0"/>
        <v>14</v>
      </c>
      <c r="AJ47" s="6">
        <f t="shared" si="1"/>
        <v>31</v>
      </c>
      <c r="AK47" s="6">
        <f t="shared" si="2"/>
        <v>30</v>
      </c>
      <c r="AL47" s="6">
        <f t="shared" si="3"/>
        <v>11</v>
      </c>
      <c r="AM47" s="6">
        <f t="shared" si="6"/>
        <v>120</v>
      </c>
      <c r="AN47" s="9">
        <f t="shared" si="12"/>
        <v>2</v>
      </c>
      <c r="AO47">
        <f t="shared" si="13"/>
        <v>2</v>
      </c>
      <c r="AP47">
        <f t="shared" si="14"/>
        <v>2</v>
      </c>
      <c r="AQ47">
        <f t="shared" si="15"/>
        <v>3</v>
      </c>
      <c r="AR47">
        <f t="shared" si="16"/>
        <v>3</v>
      </c>
      <c r="AS47" s="12">
        <f t="shared" si="17"/>
        <v>3</v>
      </c>
    </row>
    <row r="48" spans="1:45" ht="22.5" customHeight="1" x14ac:dyDescent="0.2">
      <c r="A48" s="7">
        <v>46062.973856655095</v>
      </c>
      <c r="B48" s="8">
        <v>0</v>
      </c>
      <c r="C48" s="9">
        <v>4</v>
      </c>
      <c r="D48" s="9">
        <v>4</v>
      </c>
      <c r="E48" s="9">
        <v>2</v>
      </c>
      <c r="F48" s="9">
        <v>2</v>
      </c>
      <c r="G48" s="9">
        <v>3</v>
      </c>
      <c r="H48" s="9">
        <v>4</v>
      </c>
      <c r="I48" s="9">
        <v>5</v>
      </c>
      <c r="J48" s="9">
        <v>5</v>
      </c>
      <c r="K48" s="9">
        <v>5</v>
      </c>
      <c r="L48" s="9">
        <v>5</v>
      </c>
      <c r="M48" s="9">
        <v>5</v>
      </c>
      <c r="N48" s="9">
        <v>4</v>
      </c>
      <c r="O48" s="9">
        <v>5</v>
      </c>
      <c r="P48" s="9">
        <v>4</v>
      </c>
      <c r="Q48" s="9">
        <v>5</v>
      </c>
      <c r="R48" s="9">
        <v>5</v>
      </c>
      <c r="S48" s="9">
        <v>5</v>
      </c>
      <c r="T48" s="9">
        <v>5</v>
      </c>
      <c r="U48" s="9">
        <v>5</v>
      </c>
      <c r="V48" s="9">
        <v>5</v>
      </c>
      <c r="W48" s="9">
        <v>5</v>
      </c>
      <c r="X48" s="9">
        <v>5</v>
      </c>
      <c r="Y48" s="9">
        <v>5</v>
      </c>
      <c r="Z48" s="9">
        <v>5</v>
      </c>
      <c r="AA48" s="9">
        <v>5</v>
      </c>
      <c r="AB48" s="9">
        <v>5</v>
      </c>
      <c r="AC48" s="9">
        <v>5</v>
      </c>
      <c r="AD48" s="9">
        <v>5</v>
      </c>
      <c r="AE48" s="9">
        <v>3</v>
      </c>
      <c r="AF48" s="9">
        <v>3</v>
      </c>
      <c r="AG48" s="9">
        <v>3</v>
      </c>
      <c r="AH48" s="6">
        <f t="shared" si="5"/>
        <v>34</v>
      </c>
      <c r="AI48" s="6">
        <f t="shared" si="0"/>
        <v>19</v>
      </c>
      <c r="AJ48" s="6">
        <f t="shared" si="1"/>
        <v>39</v>
      </c>
      <c r="AK48" s="6">
        <f t="shared" si="2"/>
        <v>35</v>
      </c>
      <c r="AL48" s="6">
        <f t="shared" si="3"/>
        <v>9</v>
      </c>
      <c r="AM48" s="6">
        <f t="shared" si="6"/>
        <v>136</v>
      </c>
      <c r="AN48" s="9">
        <f t="shared" si="12"/>
        <v>2</v>
      </c>
      <c r="AO48">
        <f t="shared" si="13"/>
        <v>3</v>
      </c>
      <c r="AP48">
        <f t="shared" si="14"/>
        <v>3</v>
      </c>
      <c r="AQ48">
        <f t="shared" si="15"/>
        <v>3</v>
      </c>
      <c r="AR48">
        <f t="shared" si="16"/>
        <v>2</v>
      </c>
      <c r="AS48" s="12">
        <f t="shared" si="17"/>
        <v>3</v>
      </c>
    </row>
    <row r="49" spans="1:45" ht="22.5" customHeight="1" x14ac:dyDescent="0.2">
      <c r="A49" s="7">
        <v>46062.984280127319</v>
      </c>
      <c r="B49" s="8">
        <v>0</v>
      </c>
      <c r="C49" s="9">
        <v>1</v>
      </c>
      <c r="D49" s="9">
        <v>1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9">
        <v>1</v>
      </c>
      <c r="P49" s="9">
        <v>1</v>
      </c>
      <c r="Q49" s="9">
        <v>1</v>
      </c>
      <c r="R49" s="9">
        <v>1</v>
      </c>
      <c r="S49" s="9">
        <v>1</v>
      </c>
      <c r="T49" s="9">
        <v>1</v>
      </c>
      <c r="U49" s="9">
        <v>1</v>
      </c>
      <c r="V49" s="9">
        <v>1</v>
      </c>
      <c r="W49" s="9">
        <v>5</v>
      </c>
      <c r="X49" s="9">
        <v>1</v>
      </c>
      <c r="Y49" s="9">
        <v>2</v>
      </c>
      <c r="Z49" s="9">
        <v>5</v>
      </c>
      <c r="AA49" s="9">
        <v>1</v>
      </c>
      <c r="AB49" s="9">
        <v>1</v>
      </c>
      <c r="AC49" s="9">
        <v>1</v>
      </c>
      <c r="AD49" s="9">
        <v>1</v>
      </c>
      <c r="AE49" s="9">
        <v>1</v>
      </c>
      <c r="AF49" s="9">
        <v>1</v>
      </c>
      <c r="AG49" s="9">
        <v>1</v>
      </c>
      <c r="AH49" s="6">
        <f t="shared" si="5"/>
        <v>9</v>
      </c>
      <c r="AI49" s="6">
        <f t="shared" si="0"/>
        <v>4</v>
      </c>
      <c r="AJ49" s="6">
        <f t="shared" si="1"/>
        <v>12</v>
      </c>
      <c r="AK49" s="6">
        <f t="shared" si="2"/>
        <v>12</v>
      </c>
      <c r="AL49" s="6">
        <f t="shared" si="3"/>
        <v>3</v>
      </c>
      <c r="AM49" s="6">
        <f t="shared" si="6"/>
        <v>40</v>
      </c>
      <c r="AN49" s="9">
        <f t="shared" si="12"/>
        <v>1</v>
      </c>
      <c r="AO49">
        <f t="shared" si="13"/>
        <v>1</v>
      </c>
      <c r="AP49">
        <f t="shared" si="14"/>
        <v>1</v>
      </c>
      <c r="AQ49">
        <f t="shared" si="15"/>
        <v>1</v>
      </c>
      <c r="AR49">
        <f t="shared" si="16"/>
        <v>1</v>
      </c>
      <c r="AS49" s="12">
        <f t="shared" si="17"/>
        <v>1</v>
      </c>
    </row>
    <row r="50" spans="1:45" ht="22.5" customHeight="1" x14ac:dyDescent="0.2">
      <c r="A50" s="7">
        <v>46063.276578032412</v>
      </c>
      <c r="B50" s="8">
        <v>0</v>
      </c>
      <c r="C50" s="9">
        <v>2</v>
      </c>
      <c r="D50" s="9">
        <v>2</v>
      </c>
      <c r="E50" s="9">
        <v>2</v>
      </c>
      <c r="F50" s="9">
        <v>2</v>
      </c>
      <c r="G50" s="9">
        <v>4</v>
      </c>
      <c r="H50" s="9">
        <v>3</v>
      </c>
      <c r="I50" s="9">
        <v>1</v>
      </c>
      <c r="J50" s="9">
        <v>3</v>
      </c>
      <c r="K50" s="9">
        <v>3</v>
      </c>
      <c r="L50" s="9">
        <v>4</v>
      </c>
      <c r="M50" s="9">
        <v>2</v>
      </c>
      <c r="N50" s="9">
        <v>3</v>
      </c>
      <c r="O50" s="9">
        <v>2</v>
      </c>
      <c r="P50" s="9">
        <v>3</v>
      </c>
      <c r="Q50" s="9">
        <v>3</v>
      </c>
      <c r="R50" s="9">
        <v>3</v>
      </c>
      <c r="S50" s="9">
        <v>3</v>
      </c>
      <c r="T50" s="9">
        <v>4</v>
      </c>
      <c r="U50" s="9">
        <v>4</v>
      </c>
      <c r="V50" s="9">
        <v>4</v>
      </c>
      <c r="W50" s="9">
        <v>4</v>
      </c>
      <c r="X50" s="9">
        <v>4</v>
      </c>
      <c r="Y50" s="9">
        <v>3</v>
      </c>
      <c r="Z50" s="9">
        <v>3</v>
      </c>
      <c r="AA50" s="9">
        <v>3</v>
      </c>
      <c r="AB50" s="9">
        <v>3</v>
      </c>
      <c r="AC50" s="9">
        <v>3</v>
      </c>
      <c r="AD50" s="9">
        <v>3</v>
      </c>
      <c r="AE50" s="9">
        <v>3</v>
      </c>
      <c r="AF50" s="9">
        <v>2</v>
      </c>
      <c r="AG50" s="9">
        <v>3</v>
      </c>
      <c r="AH50" s="6">
        <f t="shared" si="5"/>
        <v>22</v>
      </c>
      <c r="AI50" s="6">
        <f t="shared" si="0"/>
        <v>11</v>
      </c>
      <c r="AJ50" s="6">
        <f t="shared" si="1"/>
        <v>28</v>
      </c>
      <c r="AK50" s="6">
        <f t="shared" si="2"/>
        <v>22</v>
      </c>
      <c r="AL50" s="6">
        <f t="shared" si="3"/>
        <v>8</v>
      </c>
      <c r="AM50" s="6">
        <f t="shared" si="6"/>
        <v>91</v>
      </c>
      <c r="AN50" s="9">
        <f t="shared" si="12"/>
        <v>1</v>
      </c>
      <c r="AO50">
        <f t="shared" si="13"/>
        <v>2</v>
      </c>
      <c r="AP50">
        <f t="shared" si="14"/>
        <v>2</v>
      </c>
      <c r="AQ50">
        <f t="shared" si="15"/>
        <v>2</v>
      </c>
      <c r="AR50">
        <f t="shared" si="16"/>
        <v>2</v>
      </c>
      <c r="AS50" s="12">
        <f t="shared" si="17"/>
        <v>2</v>
      </c>
    </row>
    <row r="51" spans="1:45" ht="22.5" customHeight="1" x14ac:dyDescent="0.2">
      <c r="A51" s="7">
        <v>46063.338017569447</v>
      </c>
      <c r="B51" s="8">
        <v>0</v>
      </c>
      <c r="C51" s="9">
        <v>4</v>
      </c>
      <c r="D51" s="9">
        <v>4</v>
      </c>
      <c r="E51" s="9">
        <v>4</v>
      </c>
      <c r="F51" s="9">
        <v>4</v>
      </c>
      <c r="G51" s="9">
        <v>4</v>
      </c>
      <c r="H51" s="9">
        <v>4</v>
      </c>
      <c r="I51" s="9">
        <v>2</v>
      </c>
      <c r="J51" s="9">
        <v>4</v>
      </c>
      <c r="K51" s="9">
        <v>1</v>
      </c>
      <c r="L51" s="9">
        <v>4</v>
      </c>
      <c r="M51" s="9">
        <v>4</v>
      </c>
      <c r="N51" s="9">
        <v>4</v>
      </c>
      <c r="O51" s="9">
        <v>2</v>
      </c>
      <c r="P51" s="9">
        <v>4</v>
      </c>
      <c r="Q51" s="9">
        <v>4</v>
      </c>
      <c r="R51" s="9">
        <v>4</v>
      </c>
      <c r="S51" s="9">
        <v>4</v>
      </c>
      <c r="T51" s="9">
        <v>4</v>
      </c>
      <c r="U51" s="9">
        <v>4</v>
      </c>
      <c r="V51" s="9">
        <v>4</v>
      </c>
      <c r="W51" s="9">
        <v>4</v>
      </c>
      <c r="X51" s="9">
        <v>4</v>
      </c>
      <c r="Y51" s="9">
        <v>4</v>
      </c>
      <c r="Z51" s="9">
        <v>4</v>
      </c>
      <c r="AA51" s="9">
        <v>4</v>
      </c>
      <c r="AB51" s="9">
        <v>4</v>
      </c>
      <c r="AC51" s="9">
        <v>4</v>
      </c>
      <c r="AD51" s="9">
        <v>4</v>
      </c>
      <c r="AE51" s="9">
        <v>4</v>
      </c>
      <c r="AF51" s="9">
        <v>2</v>
      </c>
      <c r="AG51" s="9">
        <v>2</v>
      </c>
      <c r="AH51" s="6">
        <f t="shared" si="5"/>
        <v>31</v>
      </c>
      <c r="AI51" s="6">
        <f t="shared" si="0"/>
        <v>14</v>
      </c>
      <c r="AJ51" s="6">
        <f t="shared" si="1"/>
        <v>32</v>
      </c>
      <c r="AK51" s="6">
        <f t="shared" si="2"/>
        <v>28</v>
      </c>
      <c r="AL51" s="6">
        <f t="shared" si="3"/>
        <v>8</v>
      </c>
      <c r="AM51" s="6">
        <f t="shared" si="6"/>
        <v>113</v>
      </c>
      <c r="AN51" s="9">
        <f t="shared" si="12"/>
        <v>2</v>
      </c>
      <c r="AO51">
        <f t="shared" si="13"/>
        <v>2</v>
      </c>
      <c r="AP51">
        <f t="shared" si="14"/>
        <v>3</v>
      </c>
      <c r="AQ51">
        <f t="shared" si="15"/>
        <v>2</v>
      </c>
      <c r="AR51">
        <f t="shared" si="16"/>
        <v>2</v>
      </c>
      <c r="AS51" s="12">
        <f t="shared" si="17"/>
        <v>2</v>
      </c>
    </row>
    <row r="52" spans="1:45" ht="22.5" customHeight="1" x14ac:dyDescent="0.2">
      <c r="A52" s="7">
        <v>46063.341996620366</v>
      </c>
      <c r="B52" s="8">
        <v>0</v>
      </c>
      <c r="C52" s="9">
        <v>4</v>
      </c>
      <c r="D52" s="9">
        <v>5</v>
      </c>
      <c r="E52" s="9">
        <v>1</v>
      </c>
      <c r="F52" s="9">
        <v>3</v>
      </c>
      <c r="G52" s="9">
        <v>5</v>
      </c>
      <c r="H52" s="9">
        <v>3</v>
      </c>
      <c r="I52" s="9">
        <v>2</v>
      </c>
      <c r="J52" s="9">
        <v>2</v>
      </c>
      <c r="K52" s="9">
        <v>3</v>
      </c>
      <c r="L52" s="9">
        <v>3</v>
      </c>
      <c r="M52" s="9">
        <v>4</v>
      </c>
      <c r="N52" s="9">
        <v>3</v>
      </c>
      <c r="O52" s="9">
        <v>2</v>
      </c>
      <c r="P52" s="9">
        <v>4</v>
      </c>
      <c r="Q52" s="9">
        <v>3</v>
      </c>
      <c r="R52" s="9">
        <v>5</v>
      </c>
      <c r="S52" s="9">
        <v>2</v>
      </c>
      <c r="T52" s="9">
        <v>4</v>
      </c>
      <c r="U52" s="9">
        <v>4</v>
      </c>
      <c r="V52" s="9">
        <v>3</v>
      </c>
      <c r="W52" s="9">
        <v>3</v>
      </c>
      <c r="X52" s="9">
        <v>4</v>
      </c>
      <c r="Y52" s="9">
        <v>3</v>
      </c>
      <c r="Z52" s="9">
        <v>4</v>
      </c>
      <c r="AA52" s="9">
        <v>5</v>
      </c>
      <c r="AB52" s="9">
        <v>4</v>
      </c>
      <c r="AC52" s="9">
        <v>5</v>
      </c>
      <c r="AD52" s="9">
        <v>4</v>
      </c>
      <c r="AE52" s="9">
        <v>5</v>
      </c>
      <c r="AF52" s="9">
        <v>4</v>
      </c>
      <c r="AG52" s="9">
        <v>3</v>
      </c>
      <c r="AH52" s="6">
        <f t="shared" si="5"/>
        <v>28</v>
      </c>
      <c r="AI52" s="6">
        <f t="shared" si="0"/>
        <v>12</v>
      </c>
      <c r="AJ52" s="6">
        <f t="shared" si="1"/>
        <v>28</v>
      </c>
      <c r="AK52" s="6">
        <f t="shared" si="2"/>
        <v>29</v>
      </c>
      <c r="AL52" s="6">
        <f t="shared" si="3"/>
        <v>12</v>
      </c>
      <c r="AM52" s="6">
        <f t="shared" si="6"/>
        <v>109</v>
      </c>
      <c r="AN52" s="9">
        <f t="shared" si="12"/>
        <v>2</v>
      </c>
      <c r="AO52">
        <f t="shared" si="13"/>
        <v>2</v>
      </c>
      <c r="AP52">
        <f t="shared" si="14"/>
        <v>2</v>
      </c>
      <c r="AQ52">
        <f t="shared" si="15"/>
        <v>2</v>
      </c>
      <c r="AR52">
        <f t="shared" si="16"/>
        <v>3</v>
      </c>
      <c r="AS52" s="12">
        <f t="shared" si="17"/>
        <v>2</v>
      </c>
    </row>
    <row r="53" spans="1:45" ht="22.5" customHeight="1" x14ac:dyDescent="0.2">
      <c r="A53" s="7">
        <v>46063.343708657412</v>
      </c>
      <c r="B53" s="8">
        <v>0</v>
      </c>
      <c r="C53" s="9">
        <v>5</v>
      </c>
      <c r="D53" s="9">
        <v>4</v>
      </c>
      <c r="E53" s="9">
        <v>1</v>
      </c>
      <c r="F53" s="9">
        <v>3</v>
      </c>
      <c r="G53" s="9">
        <v>3</v>
      </c>
      <c r="H53" s="9">
        <v>2</v>
      </c>
      <c r="I53" s="9">
        <v>2</v>
      </c>
      <c r="J53" s="9">
        <v>4</v>
      </c>
      <c r="K53" s="9">
        <v>3</v>
      </c>
      <c r="L53" s="9">
        <v>4</v>
      </c>
      <c r="M53" s="9">
        <v>3</v>
      </c>
      <c r="N53" s="9">
        <v>4</v>
      </c>
      <c r="O53" s="9">
        <v>5</v>
      </c>
      <c r="P53" s="9">
        <v>5</v>
      </c>
      <c r="Q53" s="9">
        <v>5</v>
      </c>
      <c r="R53" s="9">
        <v>5</v>
      </c>
      <c r="S53" s="9">
        <v>3</v>
      </c>
      <c r="T53" s="9">
        <v>4</v>
      </c>
      <c r="U53" s="9">
        <v>5</v>
      </c>
      <c r="V53" s="9">
        <v>5</v>
      </c>
      <c r="W53" s="9">
        <v>5</v>
      </c>
      <c r="X53" s="9">
        <v>4</v>
      </c>
      <c r="Y53" s="9">
        <v>3</v>
      </c>
      <c r="Z53" s="9">
        <v>2</v>
      </c>
      <c r="AA53" s="9">
        <v>3</v>
      </c>
      <c r="AB53" s="9">
        <v>4</v>
      </c>
      <c r="AC53" s="9">
        <v>5</v>
      </c>
      <c r="AD53" s="9">
        <v>5</v>
      </c>
      <c r="AE53" s="9">
        <v>5</v>
      </c>
      <c r="AF53" s="9">
        <v>3</v>
      </c>
      <c r="AG53" s="9">
        <v>4</v>
      </c>
      <c r="AH53" s="6">
        <f t="shared" si="5"/>
        <v>27</v>
      </c>
      <c r="AI53" s="6">
        <f t="shared" si="0"/>
        <v>16</v>
      </c>
      <c r="AJ53" s="6">
        <f t="shared" si="1"/>
        <v>37</v>
      </c>
      <c r="AK53" s="6">
        <f t="shared" si="2"/>
        <v>26</v>
      </c>
      <c r="AL53" s="6">
        <f t="shared" si="3"/>
        <v>12</v>
      </c>
      <c r="AM53" s="6">
        <f t="shared" si="6"/>
        <v>118</v>
      </c>
      <c r="AN53" s="9">
        <f t="shared" si="12"/>
        <v>2</v>
      </c>
      <c r="AO53">
        <f t="shared" si="13"/>
        <v>3</v>
      </c>
      <c r="AP53">
        <f t="shared" si="14"/>
        <v>3</v>
      </c>
      <c r="AQ53">
        <f t="shared" si="15"/>
        <v>2</v>
      </c>
      <c r="AR53">
        <f t="shared" si="16"/>
        <v>3</v>
      </c>
      <c r="AS53" s="12">
        <f t="shared" si="17"/>
        <v>3</v>
      </c>
    </row>
    <row r="54" spans="1:45" ht="22.5" customHeight="1" x14ac:dyDescent="0.2">
      <c r="A54" s="7">
        <v>46063.914213113429</v>
      </c>
      <c r="B54" s="8">
        <v>0</v>
      </c>
      <c r="C54" s="9">
        <v>3</v>
      </c>
      <c r="D54" s="9">
        <v>2</v>
      </c>
      <c r="E54" s="9">
        <v>1</v>
      </c>
      <c r="F54" s="9">
        <v>2</v>
      </c>
      <c r="G54" s="9">
        <v>2</v>
      </c>
      <c r="H54" s="9">
        <v>2</v>
      </c>
      <c r="I54" s="9">
        <v>4</v>
      </c>
      <c r="J54" s="9">
        <v>4</v>
      </c>
      <c r="K54" s="9">
        <v>5</v>
      </c>
      <c r="L54" s="9">
        <v>2</v>
      </c>
      <c r="M54" s="9">
        <v>2</v>
      </c>
      <c r="N54" s="9">
        <v>1</v>
      </c>
      <c r="O54" s="9">
        <v>2</v>
      </c>
      <c r="P54" s="9">
        <v>3</v>
      </c>
      <c r="Q54" s="9">
        <v>2</v>
      </c>
      <c r="R54" s="9">
        <v>2</v>
      </c>
      <c r="S54" s="9">
        <v>3</v>
      </c>
      <c r="T54" s="9">
        <v>3</v>
      </c>
      <c r="U54" s="9">
        <v>4</v>
      </c>
      <c r="V54" s="9">
        <v>5</v>
      </c>
      <c r="W54" s="9">
        <v>4</v>
      </c>
      <c r="X54" s="9">
        <v>5</v>
      </c>
      <c r="Y54" s="9">
        <v>5</v>
      </c>
      <c r="Z54" s="9">
        <v>5</v>
      </c>
      <c r="AA54" s="9">
        <v>5</v>
      </c>
      <c r="AB54" s="9">
        <v>5</v>
      </c>
      <c r="AC54" s="9">
        <v>5</v>
      </c>
      <c r="AD54" s="9">
        <v>5</v>
      </c>
      <c r="AE54" s="9">
        <v>3</v>
      </c>
      <c r="AF54" s="9">
        <v>2</v>
      </c>
      <c r="AG54" s="9">
        <v>2</v>
      </c>
      <c r="AH54" s="6">
        <f t="shared" si="5"/>
        <v>25</v>
      </c>
      <c r="AI54" s="6">
        <f t="shared" si="0"/>
        <v>7</v>
      </c>
      <c r="AJ54" s="6">
        <f t="shared" si="1"/>
        <v>26</v>
      </c>
      <c r="AK54" s="6">
        <f t="shared" si="2"/>
        <v>35</v>
      </c>
      <c r="AL54" s="6">
        <f t="shared" si="3"/>
        <v>7</v>
      </c>
      <c r="AM54" s="6">
        <f t="shared" si="6"/>
        <v>100</v>
      </c>
      <c r="AN54" s="9">
        <f t="shared" si="12"/>
        <v>2</v>
      </c>
      <c r="AO54">
        <f t="shared" si="13"/>
        <v>1</v>
      </c>
      <c r="AP54">
        <f t="shared" si="14"/>
        <v>2</v>
      </c>
      <c r="AQ54">
        <f t="shared" si="15"/>
        <v>3</v>
      </c>
      <c r="AR54">
        <f t="shared" si="16"/>
        <v>1</v>
      </c>
      <c r="AS54" s="12">
        <f t="shared" si="17"/>
        <v>2</v>
      </c>
    </row>
    <row r="55" spans="1:45" ht="15.75" customHeight="1" x14ac:dyDescent="0.2">
      <c r="AN55" s="11">
        <f>AVERAGE(Form_Responses[ND1])</f>
        <v>1.8679245283018868</v>
      </c>
      <c r="AO55" s="11">
        <f>AVERAGE(Form_Responses[ND2])</f>
        <v>1.9245283018867925</v>
      </c>
      <c r="AP55" s="11">
        <f>AVERAGE(Form_Responses[ND3])</f>
        <v>1.8490566037735849</v>
      </c>
      <c r="AQ55" s="11">
        <f>AVERAGE(Form_Responses[ND4])</f>
        <v>1.9056603773584906</v>
      </c>
      <c r="AR55" s="11">
        <f>AVERAGE(Form_Responses[ND5])</f>
        <v>1.9056603773584906</v>
      </c>
      <c r="AS55" s="1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Fabian Rodriguez Dominguez</dc:creator>
  <cp:lastModifiedBy>Alejandro Fabian Rodriguez Dominguez</cp:lastModifiedBy>
  <dcterms:created xsi:type="dcterms:W3CDTF">2026-02-12T20:47:32Z</dcterms:created>
  <dcterms:modified xsi:type="dcterms:W3CDTF">2026-02-12T20:47:32Z</dcterms:modified>
</cp:coreProperties>
</file>